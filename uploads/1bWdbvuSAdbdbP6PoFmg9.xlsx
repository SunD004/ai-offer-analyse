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6D42~1.CON\AppData\Local\Temp\Rar$DIa0.983\"/>
    </mc:Choice>
  </mc:AlternateContent>
  <bookViews>
    <workbookView xWindow="0" yWindow="0" windowWidth="21600" windowHeight="9735" activeTab="5"/>
  </bookViews>
  <sheets>
    <sheet name="Annexe 2" sheetId="1" r:id="rId1"/>
    <sheet name="Annexe 3" sheetId="2" r:id="rId2"/>
    <sheet name="Annexe 4" sheetId="4" r:id="rId3"/>
    <sheet name="Annexe 5" sheetId="5" r:id="rId4"/>
    <sheet name="Annexe 6" sheetId="7" r:id="rId5"/>
    <sheet name="Ne pas compléter ni modifier" sheetId="8" r:id="rId6"/>
  </sheets>
  <definedNames>
    <definedName name="_xlnm.Print_Area" localSheetId="0">'Annexe 2'!$A$1:$E$127</definedName>
    <definedName name="_xlnm.Print_Area" localSheetId="1">'Annexe 3'!$A$1:$E$89</definedName>
    <definedName name="_xlnm.Print_Area" localSheetId="2">'Annexe 4'!$B$1:$F$28</definedName>
    <definedName name="_xlnm.Print_Area" localSheetId="3">'Annexe 5'!$A$2:$F$30</definedName>
    <definedName name="_xlnm.Print_Area" localSheetId="4">'Annexe 6'!$A$1:$E$12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7" i="1" l="1"/>
  <c r="B5" i="8"/>
  <c r="B8" i="8"/>
  <c r="B7" i="8"/>
  <c r="B6" i="8"/>
  <c r="E30" i="5"/>
  <c r="E26" i="4"/>
  <c r="E89" i="2"/>
  <c r="A10" i="7"/>
  <c r="A11" i="7" s="1"/>
  <c r="A12" i="5"/>
  <c r="A13" i="5" s="1"/>
  <c r="A15" i="5" s="1"/>
  <c r="A16" i="5" s="1"/>
  <c r="A17" i="5" s="1"/>
  <c r="A19" i="5" s="1"/>
  <c r="A20" i="5" s="1"/>
  <c r="A21" i="5" s="1"/>
  <c r="A23" i="5" s="1"/>
  <c r="A24" i="5" s="1"/>
  <c r="A25" i="5" s="1"/>
  <c r="A27" i="5" s="1"/>
  <c r="A28" i="5" s="1"/>
  <c r="A29" i="5" s="1"/>
  <c r="A12" i="4"/>
  <c r="A13" i="4" s="1"/>
  <c r="A15" i="4" s="1"/>
  <c r="A16" i="4" s="1"/>
  <c r="A17" i="4" s="1"/>
  <c r="A19" i="4" s="1"/>
  <c r="A20" i="4" s="1"/>
  <c r="A21" i="4" s="1"/>
  <c r="A23" i="4" s="1"/>
  <c r="A24" i="4" s="1"/>
  <c r="A25" i="4" s="1"/>
  <c r="A11" i="2"/>
  <c r="A12" i="2" s="1"/>
  <c r="A14" i="2" s="1"/>
  <c r="A15" i="2" s="1"/>
  <c r="A16" i="2" s="1"/>
  <c r="A18" i="2" s="1"/>
  <c r="A19" i="2" s="1"/>
  <c r="A20" i="2" s="1"/>
  <c r="A22" i="2" s="1"/>
  <c r="A23" i="2" s="1"/>
  <c r="A24" i="2" s="1"/>
  <c r="A26" i="2" s="1"/>
  <c r="A27" i="2" s="1"/>
  <c r="A28" i="2" s="1"/>
  <c r="A30" i="2" s="1"/>
  <c r="A31" i="2" s="1"/>
  <c r="A32" i="2" s="1"/>
  <c r="A34" i="2" s="1"/>
  <c r="A35" i="2" s="1"/>
  <c r="A36" i="2" s="1"/>
  <c r="A38" i="2" s="1"/>
  <c r="A39" i="2" s="1"/>
  <c r="A40" i="2" s="1"/>
  <c r="A42" i="2" s="1"/>
  <c r="A43" i="2" s="1"/>
  <c r="A44" i="2" s="1"/>
  <c r="A46" i="2" s="1"/>
  <c r="A47" i="2" s="1"/>
  <c r="A48" i="2" s="1"/>
  <c r="A50" i="2" s="1"/>
  <c r="A51" i="2" s="1"/>
  <c r="A52" i="2" s="1"/>
  <c r="A54" i="2" s="1"/>
  <c r="A55" i="2" s="1"/>
  <c r="A56" i="2" s="1"/>
  <c r="A58" i="2" s="1"/>
  <c r="A59" i="2" s="1"/>
  <c r="A60" i="2" s="1"/>
  <c r="A62" i="2" s="1"/>
  <c r="A63" i="2" s="1"/>
  <c r="A64" i="2" s="1"/>
  <c r="A66" i="2" s="1"/>
  <c r="A67" i="2" s="1"/>
  <c r="A68" i="2" s="1"/>
  <c r="A70" i="2" s="1"/>
  <c r="A71" i="2" s="1"/>
  <c r="A72" i="2" s="1"/>
  <c r="A74" i="2" s="1"/>
  <c r="A75" i="2" s="1"/>
  <c r="A76" i="2" s="1"/>
  <c r="A78" i="2" s="1"/>
  <c r="A79" i="2" s="1"/>
  <c r="A80" i="2" s="1"/>
  <c r="A82" i="2" s="1"/>
  <c r="A83" i="2" s="1"/>
  <c r="A84" i="2" s="1"/>
  <c r="A86" i="2" s="1"/>
  <c r="A87" i="2" s="1"/>
  <c r="A88" i="2" s="1"/>
  <c r="A13" i="1"/>
  <c r="A14" i="1" s="1"/>
  <c r="A16" i="1" s="1"/>
  <c r="A17" i="1" s="1"/>
  <c r="A18" i="1" s="1"/>
  <c r="A20" i="1" s="1"/>
  <c r="A21" i="1" s="1"/>
  <c r="A22" i="1" s="1"/>
  <c r="A24" i="1" s="1"/>
  <c r="A25" i="1" s="1"/>
  <c r="A26" i="1" s="1"/>
  <c r="A28" i="1" s="1"/>
  <c r="A29" i="1" s="1"/>
  <c r="A30" i="1" s="1"/>
  <c r="A32" i="1" s="1"/>
  <c r="A33" i="1" s="1"/>
  <c r="A34" i="1" s="1"/>
  <c r="A36" i="1" s="1"/>
  <c r="A37" i="1" s="1"/>
  <c r="A38" i="1" s="1"/>
  <c r="A40" i="1" s="1"/>
  <c r="A41" i="1" s="1"/>
  <c r="A42" i="1" s="1"/>
  <c r="A44" i="1" s="1"/>
  <c r="A45" i="1" s="1"/>
  <c r="A46" i="1" s="1"/>
  <c r="A48" i="1" s="1"/>
  <c r="A49" i="1" s="1"/>
  <c r="A50" i="1" s="1"/>
  <c r="A52" i="1" s="1"/>
  <c r="A53" i="1" s="1"/>
  <c r="A54" i="1" s="1"/>
  <c r="A56" i="1" s="1"/>
  <c r="A57" i="1" s="1"/>
  <c r="A58" i="1" s="1"/>
  <c r="A60" i="1" s="1"/>
  <c r="A61" i="1" s="1"/>
  <c r="A62" i="1" s="1"/>
  <c r="A64" i="1" s="1"/>
  <c r="A65" i="1" s="1"/>
  <c r="A66" i="1" s="1"/>
  <c r="A68" i="1" s="1"/>
  <c r="A69" i="1" s="1"/>
  <c r="A70" i="1" s="1"/>
  <c r="A72" i="1" s="1"/>
  <c r="A73" i="1" s="1"/>
  <c r="A74" i="1" s="1"/>
  <c r="A76" i="1" s="1"/>
  <c r="A77" i="1" s="1"/>
  <c r="A78" i="1" s="1"/>
  <c r="A80" i="1" s="1"/>
  <c r="A81" i="1" s="1"/>
  <c r="A82" i="1" s="1"/>
  <c r="A84" i="1" s="1"/>
  <c r="A85" i="1" s="1"/>
  <c r="A86" i="1" s="1"/>
  <c r="A88" i="1" s="1"/>
  <c r="A89" i="1" s="1"/>
  <c r="A90" i="1" s="1"/>
  <c r="A92" i="1" s="1"/>
  <c r="A93" i="1" s="1"/>
  <c r="A94" i="1" s="1"/>
  <c r="A96" i="1" s="1"/>
  <c r="A97" i="1" s="1"/>
  <c r="A98" i="1" s="1"/>
  <c r="A100" i="1" s="1"/>
  <c r="A101" i="1" s="1"/>
  <c r="A102" i="1" s="1"/>
  <c r="A104" i="1" s="1"/>
  <c r="A105" i="1" s="1"/>
  <c r="A106" i="1" s="1"/>
  <c r="A108" i="1" s="1"/>
  <c r="A109" i="1" s="1"/>
  <c r="A110" i="1" s="1"/>
  <c r="B10" i="8" l="1"/>
  <c r="A112" i="1"/>
  <c r="A113" i="1" s="1"/>
  <c r="A114" i="1" s="1"/>
  <c r="A116" i="1" s="1"/>
  <c r="A117" i="1" s="1"/>
  <c r="A118" i="1" s="1"/>
  <c r="A120" i="1" s="1"/>
  <c r="A121" i="1" s="1"/>
  <c r="A122" i="1" s="1"/>
  <c r="A124" i="1" s="1"/>
  <c r="A125" i="1" s="1"/>
  <c r="A126" i="1" s="1"/>
</calcChain>
</file>

<file path=xl/sharedStrings.xml><?xml version="1.0" encoding="utf-8"?>
<sst xmlns="http://schemas.openxmlformats.org/spreadsheetml/2006/main" count="596" uniqueCount="133">
  <si>
    <t xml:space="preserve">PF_2026-009 Service de nettoyage des locaux et de la vitrerie de l’Institut national du service public (INSP) à Paris </t>
  </si>
  <si>
    <r>
      <rPr>
        <b/>
        <sz val="22"/>
        <color theme="4" tint="-0.499984740745262"/>
        <rFont val="Arial"/>
        <family val="2"/>
      </rPr>
      <t xml:space="preserve">ANNEXE 2 </t>
    </r>
    <r>
      <rPr>
        <b/>
        <sz val="22"/>
        <color theme="1"/>
        <rFont val="Arial"/>
        <family val="2"/>
      </rPr>
      <t>: BORDEREAU DE PRIX UNITAIRES</t>
    </r>
  </si>
  <si>
    <t>PRESTATIONS EXCEPTIONNELLES DE NETTOYAGE</t>
  </si>
  <si>
    <t>ATTENTION : NE CONCERNENT QUE DES PRESTATIONS NON INCLUSES AU FORFAIT</t>
  </si>
  <si>
    <t>Aucune modification sur la forme et sur le fond (notamment : modifications de données, ajout de données) ne doit être réalisée par les candidats
Tous les prix doivent impérativement être renseignés</t>
  </si>
  <si>
    <t>Référence</t>
  </si>
  <si>
    <t>Unité d'œuvre</t>
  </si>
  <si>
    <t>Tranche de commande</t>
  </si>
  <si>
    <t>Prix unitaire en € HT</t>
  </si>
  <si>
    <t>m²</t>
  </si>
  <si>
    <t>≤ à 100 m²</t>
  </si>
  <si>
    <t>]100 m² ; 1 000 m² ]</t>
  </si>
  <si>
    <t>&gt; à 1 000 m²</t>
  </si>
  <si>
    <t>Balayage humide des sols</t>
  </si>
  <si>
    <t>Aspiration des sols durs</t>
  </si>
  <si>
    <t>Aspiration des moquettes et tapis</t>
  </si>
  <si>
    <t>Dépoussiérage et lavage des sols</t>
  </si>
  <si>
    <t>Lavage des sols</t>
  </si>
  <si>
    <t>Lavage et détachage des sols</t>
  </si>
  <si>
    <t>Nettoyage mécanisé des sols carrelés et peints</t>
  </si>
  <si>
    <t>Lavage par auto-laveuse pour les sols cimentés</t>
  </si>
  <si>
    <t>Mise en spray et lustrage des sols cirés</t>
  </si>
  <si>
    <t>Mise en spray et lustrage des sols en thermoplastique</t>
  </si>
  <si>
    <t>Cristallisation des sols en marbre</t>
  </si>
  <si>
    <t>Mise en cire des parquets</t>
  </si>
  <si>
    <t>Spray cristallisant des sols en pierre marbrière</t>
  </si>
  <si>
    <t>Décapage et métallisation des sols thermoplastiques</t>
  </si>
  <si>
    <t>Aspiration des revêtements textiles ou moquettes murales</t>
  </si>
  <si>
    <t>Aspiration de cloisons en bois</t>
  </si>
  <si>
    <t>Lavage et décapage des taches de graisse et d’huile (zones de parking ou atelier)</t>
  </si>
  <si>
    <t>Nettoyage et lustrage des vitres intérieures et extérieures sans moyen d'élévation</t>
  </si>
  <si>
    <t>Nettoyage et lustrage des vitres intérieures et extérieures sans moyen d'élévation avec lessivage des encadrements de fenêtre et des poignées</t>
  </si>
  <si>
    <t>Dépoussiérage et lavage des stores extérieurs</t>
  </si>
  <si>
    <t>≤ à 10 m²</t>
  </si>
  <si>
    <t>]10 m² ; 50 m² ]</t>
  </si>
  <si>
    <t>&gt; à 50 m²</t>
  </si>
  <si>
    <t>Dépoussiérage et lavage des stores intérieurs</t>
  </si>
  <si>
    <t>Fermeture des volets roulants (pendant l’intervention pour prestations courantes)</t>
  </si>
  <si>
    <t>unité</t>
  </si>
  <si>
    <t>Nettoyage des réfrigérateurs classiques</t>
  </si>
  <si>
    <t>par appareil</t>
  </si>
  <si>
    <t>≤ 2</t>
  </si>
  <si>
    <t>De 3 à 5</t>
  </si>
  <si>
    <t>&gt; 5</t>
  </si>
  <si>
    <t>Nettoyage des congélateurs classiques</t>
  </si>
  <si>
    <t>Nettoyage des micro-ondes</t>
  </si>
  <si>
    <t>Salage et déneigement</t>
  </si>
  <si>
    <t>≤ à 50 m²</t>
  </si>
  <si>
    <t>] 50 m² ; 100 m² ]</t>
  </si>
  <si>
    <t>&gt; à 100 m²</t>
  </si>
  <si>
    <t>Nettoyage ponctuel dans la zone sanitaire</t>
  </si>
  <si>
    <t>] 100 m² ; 300 m²]</t>
  </si>
  <si>
    <t>&gt; à 300 m²</t>
  </si>
  <si>
    <r>
      <rPr>
        <b/>
        <sz val="22"/>
        <color rgb="FF002060"/>
        <rFont val="Arial"/>
        <family val="2"/>
      </rPr>
      <t>ANNEXE 3</t>
    </r>
    <r>
      <rPr>
        <b/>
        <sz val="22"/>
        <color theme="1"/>
        <rFont val="Arial"/>
        <family val="2"/>
      </rPr>
      <t xml:space="preserve"> : BORDEREAU DE PRIX UNITAIRES</t>
    </r>
  </si>
  <si>
    <t>PRESTATIONS EXCEPTIONNELLES DE REMISE A NIVEAU DE PROPRETE DE LOCAUX</t>
  </si>
  <si>
    <r>
      <rPr>
        <sz val="16"/>
        <color theme="1"/>
        <rFont val="Arial"/>
        <family val="2"/>
      </rPr>
      <t>Aucune modification sur la forme et sur le fond (notamment : modifications de données, ajout de données) ne doit être réalisée par les candidats</t>
    </r>
    <r>
      <rPr>
        <sz val="16"/>
        <color theme="1"/>
        <rFont val="Arial"/>
        <family val="2"/>
      </rPr>
      <t xml:space="preserve">
Tous les prix doivent impérativement être renseignés</t>
    </r>
  </si>
  <si>
    <t>Remise à niveau de propreté des sols carrelés</t>
  </si>
  <si>
    <t>Remise à niveau de propreté des sols thermoplastiques</t>
  </si>
  <si>
    <t>Remise à niveau de propreté des sols en parquet</t>
  </si>
  <si>
    <t>Remise à niveau de propreté des sols moquette</t>
  </si>
  <si>
    <t>Remise à niveau de propreté des sols en marbre</t>
  </si>
  <si>
    <t>sol ≤ à 100 m²</t>
  </si>
  <si>
    <t>sol de ]100 m² ; 1 000 m² ]</t>
  </si>
  <si>
    <t>sol &gt; à 1 000 m²</t>
  </si>
  <si>
    <t>Remise à niveau de propreté des sanitaires (sols / murs / plafonds / appareils)</t>
  </si>
  <si>
    <t>Remise à niveau de propreté de la vitrerie accessible sans moyen d'élévation</t>
  </si>
  <si>
    <t>Lessivage des murs (peints, stratifiés, cloisons pleines…)</t>
  </si>
  <si>
    <t>Paroi ≤ à 100 m²</t>
  </si>
  <si>
    <t>paroi de ]100 m² ; 1 000 m² ]</t>
  </si>
  <si>
    <t>paroi &gt; à 1 000 m²</t>
  </si>
  <si>
    <t>Lessivage fauteuil / siège plastique</t>
  </si>
  <si>
    <t>Unité ≤ à 10</t>
  </si>
  <si>
    <t>unité de 11 à 50</t>
  </si>
  <si>
    <t>unité &gt; à 50</t>
  </si>
  <si>
    <t>Shampooing siège tissu</t>
  </si>
  <si>
    <t>Lessivage armoire basse (extérieur)</t>
  </si>
  <si>
    <t>Lessivage armoire haute (extérieur)</t>
  </si>
  <si>
    <t>Lessivage bloc bureau/caisson</t>
  </si>
  <si>
    <t>Lessivage rayonnage</t>
  </si>
  <si>
    <t>mètre linéaire</t>
  </si>
  <si>
    <t>ml ≤  à 10</t>
  </si>
  <si>
    <t>ml de ]10 ; 50]</t>
  </si>
  <si>
    <t>ml &gt; à 50</t>
  </si>
  <si>
    <t>Remise à niveau de propreté de tout type de sols (hors parquet et moquette), parois verticales et horizontales et objets meublants d'un bureau</t>
  </si>
  <si>
    <t>Remise à niveau de propreté des sols en parquet, parois verticales et horizontales et objets meublants d'un bureau</t>
  </si>
  <si>
    <t>Remise à niveau de propreté des sols moquette, parois verticales et horizontales et objets meublants d'un bureau</t>
  </si>
  <si>
    <t>Remise à niveau de propreté de tout type de sols (hors parquet et moquette), parois verticales et horizontales d'un bureau</t>
  </si>
  <si>
    <t>Remise à niveau de propreté des sols en parquet, parois verticales et horizontales d'un bureau</t>
  </si>
  <si>
    <t>Remise à niveau de propreté des sols moquette, parois verticales et horizontales d'un bureau</t>
  </si>
  <si>
    <r>
      <rPr>
        <b/>
        <sz val="22"/>
        <color rgb="FF002060"/>
        <rFont val="Arial"/>
        <family val="2"/>
      </rPr>
      <t>ANNEXE 4</t>
    </r>
    <r>
      <rPr>
        <b/>
        <sz val="22"/>
        <color theme="1"/>
        <rFont val="Arial"/>
        <family val="2"/>
      </rPr>
      <t xml:space="preserve"> : BORDEREAU DE PRIX UNITAIRES</t>
    </r>
  </si>
  <si>
    <t>PRESTATIONS EXCEPTIONNELLES DE DÉSINFECTION</t>
  </si>
  <si>
    <t xml:space="preserve"> Prix comprenant le produit adapté pour réaliser la prestation, la main d’oeuvre et les EPI nécessaires *</t>
  </si>
  <si>
    <r>
      <t xml:space="preserve">Tarif horaire en € HT par unité d’oeuvre </t>
    </r>
    <r>
      <rPr>
        <u/>
        <sz val="16"/>
        <color theme="1"/>
        <rFont val="Arial"/>
        <family val="2"/>
      </rPr>
      <t xml:space="preserve">pour un passage adossé à l’exécution d’une prestation courante </t>
    </r>
    <r>
      <rPr>
        <sz val="16"/>
        <color theme="1"/>
        <rFont val="Arial"/>
        <family val="2"/>
      </rPr>
      <t>*</t>
    </r>
  </si>
  <si>
    <r>
      <t xml:space="preserve">Tarif horaire en € HT par unité d’oeuvre </t>
    </r>
    <r>
      <rPr>
        <u/>
        <sz val="16"/>
        <color theme="1"/>
        <rFont val="Arial"/>
        <family val="2"/>
      </rPr>
      <t>pour un passage en dehors de toute autre prestation sur site</t>
    </r>
    <r>
      <rPr>
        <sz val="16"/>
        <color theme="1"/>
        <rFont val="Arial"/>
        <family val="2"/>
      </rPr>
      <t xml:space="preserve"> *</t>
    </r>
  </si>
  <si>
    <t>Lavage des sols avec produit désinfectant</t>
  </si>
  <si>
    <t>1 heure (en heures et jours ouvrables)</t>
  </si>
  <si>
    <t>&lt; ou = 1 heure</t>
  </si>
  <si>
    <t>&gt; 1 heure à ≤ 3 heures</t>
  </si>
  <si>
    <t>&gt; 3 heures</t>
  </si>
  <si>
    <t>Prestations de désinfection en complément des prestations courantes de nettoyage</t>
  </si>
  <si>
    <t>Désinfection des points dits de « contact » sensibles hors matériels informatiques (dessus des plans de travail, poignées de porte, interrupteurs, rampes d'escalier, combinés de téléphone, sas d'ascenseurs et composants des halls d'accueil, etc.)</t>
  </si>
  <si>
    <r>
      <t xml:space="preserve">Prestations de désinfection </t>
    </r>
    <r>
      <rPr>
        <b/>
        <sz val="16"/>
        <color theme="1"/>
        <rFont val="Arial"/>
        <family val="2"/>
      </rPr>
      <t>en complément des prestations courantes de nettoyage</t>
    </r>
    <r>
      <rPr>
        <sz val="16"/>
        <color theme="1"/>
        <rFont val="Arial"/>
        <family val="2"/>
      </rPr>
      <t xml:space="preserve"> et désinfection des points dits de « contact » sensibles hors matériels informatiques (dessus des plans de travail, poignées de porte, interrupteurs, rampe d'escalier, combinés de téléphone, sas d'ascenseur, et composants des hall d'accueil, etc.)</t>
    </r>
  </si>
  <si>
    <r>
      <rPr>
        <b/>
        <sz val="22"/>
        <color rgb="FF002060"/>
        <rFont val="Arial"/>
        <family val="2"/>
      </rPr>
      <t>ANNEXE 5</t>
    </r>
    <r>
      <rPr>
        <b/>
        <sz val="22"/>
        <color theme="1"/>
        <rFont val="Arial"/>
        <family val="2"/>
      </rPr>
      <t xml:space="preserve"> : BORDEREAU DE PRIX UNITAIRES</t>
    </r>
  </si>
  <si>
    <r>
      <t xml:space="preserve">Non EXCLUSIF </t>
    </r>
    <r>
      <rPr>
        <b/>
        <sz val="20"/>
        <rFont val="Arial"/>
        <family val="2"/>
      </rPr>
      <t>(cf CCAP)</t>
    </r>
  </si>
  <si>
    <t>PRESTATIONS EXCEPTIONNELLES DE DECONTAMINATION</t>
  </si>
  <si>
    <t>Prix comprenant le produit adapté pour réaliser la prestation, la main d’oeuvre et les EPI nécessaires *</t>
  </si>
  <si>
    <t>Lavage des sols avec utilisation d’un produit visant à éliminer le risque infectieux</t>
  </si>
  <si>
    <t>Décontamination de sols, murs et toutes surfaces de contact</t>
  </si>
  <si>
    <t>Prestations courantes de décontamination avec utilisation d’un produit visant à éliminer le risque infectieux</t>
  </si>
  <si>
    <t>Décontamination des points dits de « contact » sensibles hors matériels informatiques (dessus des plans de travail, poignées de porte, interrupteurs, rampes d'escalier, combinés de téléphone, sas d'ascenseurs et composants des halls d'accueil, etc.)</t>
  </si>
  <si>
    <t>Prestations courantes de nettoyage avec utilisation d’un produit visant à éliminer le risque infectieux et décontamination des points dits de « contact » sensibles hors matériels informatiques (dessus des plans de travail, poignées de porte, interrupteurs, rampe d'escalier, combinés de téléphone, sas d'ascenseur, et composants des hall d'accueil, etc.)</t>
  </si>
  <si>
    <r>
      <rPr>
        <b/>
        <sz val="18"/>
        <color rgb="FF002060"/>
        <rFont val="Arial"/>
        <family val="2"/>
      </rPr>
      <t>ANNEXE 6</t>
    </r>
    <r>
      <rPr>
        <b/>
        <sz val="18"/>
        <color theme="1"/>
        <rFont val="Arial"/>
        <family val="2"/>
      </rPr>
      <t xml:space="preserve"> : BORDEREAU DE PRIX UNITAIRES</t>
    </r>
  </si>
  <si>
    <t>COEFFICIENTS MAJORATEURS</t>
  </si>
  <si>
    <r>
      <rPr>
        <sz val="16"/>
        <color theme="1"/>
        <rFont val="Arial"/>
        <family val="2"/>
      </rPr>
      <t>Aucune modification sur la forme et sur le fond (notamment : modifications de données, ajout de données) ne doit être réalisée par les candidats</t>
    </r>
    <r>
      <rPr>
        <sz val="16"/>
        <color theme="1"/>
        <rFont val="Arial"/>
        <family val="2"/>
      </rPr>
      <t xml:space="preserve">
Tous les coefficients doivent impérativement être renseignés</t>
    </r>
  </si>
  <si>
    <t>Coefficient</t>
  </si>
  <si>
    <t>coef</t>
  </si>
  <si>
    <r>
      <t xml:space="preserve">Prestations réalisées de nuit
(entre 21h00 et 6h00)
</t>
    </r>
    <r>
      <rPr>
        <b/>
        <sz val="16"/>
        <color theme="1"/>
        <rFont val="Arial"/>
        <family val="2"/>
      </rPr>
      <t>En semaine du lundi au samedi</t>
    </r>
  </si>
  <si>
    <t>Prestations réalisées le dimanche ou jours fériés</t>
  </si>
  <si>
    <t>Prestations réalisées de nuit, le dimanche ou jours fériés
(entre 21h00 et 6h00)</t>
  </si>
  <si>
    <r>
      <t>Coefficient majorateur applicable aux prix des</t>
    </r>
    <r>
      <rPr>
        <b/>
        <sz val="16"/>
        <color theme="1"/>
        <rFont val="Arial"/>
        <family val="2"/>
      </rPr>
      <t xml:space="preserve"> prestations exceptionnelles</t>
    </r>
    <r>
      <rPr>
        <sz val="16"/>
        <color theme="1"/>
        <rFont val="Arial"/>
        <family val="2"/>
      </rPr>
      <t xml:space="preserve"> à prix unitaires</t>
    </r>
  </si>
  <si>
    <t>Shampouinage des moquettes</t>
  </si>
  <si>
    <t>Shampouinage à sec des faux-planchers informatiques</t>
  </si>
  <si>
    <t>Montant total</t>
  </si>
  <si>
    <t>Annexe 2</t>
  </si>
  <si>
    <t>Annexe 3</t>
  </si>
  <si>
    <t>Annexe 4</t>
  </si>
  <si>
    <t>Annexe 5</t>
  </si>
  <si>
    <t>Montants</t>
  </si>
  <si>
    <t>TOTAL</t>
  </si>
  <si>
    <t>NE PAS COMPLETER NI MODIFIER</t>
  </si>
  <si>
    <r>
      <t xml:space="preserve">Prestations de vitrerie </t>
    </r>
    <r>
      <rPr>
        <b/>
        <sz val="16"/>
        <color theme="1"/>
        <rFont val="Arial"/>
        <family val="2"/>
      </rPr>
      <t>(Cf. annexe 3 du CCTP)</t>
    </r>
  </si>
  <si>
    <t>Nombre de m²</t>
  </si>
  <si>
    <t>1310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</si>
</sst>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* #,##0.00\ &quot;€&quot;_-;\-* #,##0.00\ &quot;€&quot;_-;_-* &quot;-&quot;??\ &quot;€&quot;_-;_-@_-"/>
    <numFmt numFmtId="164" formatCode="#,##0.00&quot;    &quot;;#,##0.00&quot;    &quot;;&quot;-&quot;#&quot;    &quot;;@&quot; &quot;"/>
    <numFmt numFmtId="165" formatCode="#,##0.000&quot; &quot;[$€]&quot; &quot;;#,##0.000&quot; &quot;[$€]&quot; &quot;;&quot;-&quot;#&quot; &quot;[$€]&quot; &quot;;@&quot; &quot;"/>
    <numFmt numFmtId="166" formatCode="#,##0.00&quot; &quot;[$€]&quot; &quot;;#,##0.00&quot; &quot;[$€]&quot; &quot;;&quot;-&quot;#&quot; &quot;[$€]&quot; &quot;;@&quot; &quot;"/>
    <numFmt numFmtId="167" formatCode="#,##0.00&quot; €&quot;"/>
    <numFmt numFmtId="168" formatCode="0&quot; m²/h&quot;"/>
    <numFmt numFmtId="169" formatCode="0&quot; u/h&quot;"/>
    <numFmt numFmtId="170" formatCode="0.00&quot; &quot;%"/>
    <numFmt numFmtId="171" formatCode="#,##0.00&quot; &quot;[$€-40C];[Red]&quot;-&quot;#,##0.00&quot; &quot;[$€-40C]"/>
  </numFmts>
  <fonts count="5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1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FF0000"/>
      <name val="Arial"/>
      <family val="2"/>
    </font>
    <font>
      <sz val="12"/>
      <color theme="1"/>
      <name val="Arial"/>
      <family val="2"/>
    </font>
    <font>
      <b/>
      <u/>
      <sz val="22"/>
      <color theme="1"/>
      <name val="Arial"/>
      <family val="2"/>
    </font>
    <font>
      <b/>
      <u/>
      <sz val="22"/>
      <color rgb="FFFF0000"/>
      <name val="Arial"/>
      <family val="2"/>
    </font>
    <font>
      <sz val="22"/>
      <color theme="1"/>
      <name val="Arial"/>
      <family val="2"/>
    </font>
    <font>
      <sz val="18"/>
      <color rgb="FFF04E4D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3"/>
      <color theme="1"/>
      <name val="Arial"/>
      <family val="2"/>
    </font>
    <font>
      <b/>
      <sz val="12"/>
      <color theme="1"/>
      <name val="Arial"/>
      <family val="2"/>
    </font>
    <font>
      <sz val="15"/>
      <color theme="1"/>
      <name val="Arial"/>
      <family val="2"/>
    </font>
    <font>
      <b/>
      <sz val="13"/>
      <color theme="1"/>
      <name val="Arial"/>
      <family val="2"/>
    </font>
    <font>
      <sz val="14"/>
      <color theme="1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trike/>
      <sz val="10"/>
      <color theme="1"/>
      <name val="Arial"/>
      <family val="2"/>
    </font>
    <font>
      <b/>
      <u/>
      <sz val="21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002060"/>
      <name val="Arial"/>
      <family val="2"/>
    </font>
    <font>
      <b/>
      <sz val="16"/>
      <color rgb="FFFF0000"/>
      <name val="Arial"/>
      <family val="2"/>
    </font>
    <font>
      <sz val="16"/>
      <color rgb="FF000000"/>
      <name val="Arial"/>
      <family val="2"/>
    </font>
    <font>
      <b/>
      <u/>
      <sz val="21"/>
      <color rgb="FF002060"/>
      <name val="Arial"/>
      <family val="2"/>
    </font>
    <font>
      <b/>
      <u/>
      <sz val="22"/>
      <color rgb="FF002060"/>
      <name val="Arial"/>
      <family val="2"/>
    </font>
    <font>
      <b/>
      <sz val="22"/>
      <color theme="1"/>
      <name val="Arial"/>
      <family val="2"/>
    </font>
    <font>
      <b/>
      <sz val="22"/>
      <color rgb="FF002060"/>
      <name val="Arial"/>
      <family val="2"/>
    </font>
    <font>
      <b/>
      <sz val="20"/>
      <name val="Arial"/>
      <family val="2"/>
    </font>
    <font>
      <b/>
      <sz val="22"/>
      <color theme="4" tint="-0.499984740745262"/>
      <name val="Arial"/>
      <family val="2"/>
    </font>
    <font>
      <u/>
      <sz val="16"/>
      <color theme="1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6"/>
      <color rgb="FFC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CE1D4"/>
        <bgColor rgb="FFCCE1D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0" fontId="14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0" borderId="0"/>
    <xf numFmtId="0" fontId="8" fillId="7" borderId="0"/>
    <xf numFmtId="0" fontId="9" fillId="0" borderId="0"/>
    <xf numFmtId="0" fontId="10" fillId="0" borderId="0"/>
    <xf numFmtId="0" fontId="11" fillId="0" borderId="0"/>
    <xf numFmtId="0" fontId="9" fillId="0" borderId="0">
      <alignment textRotation="90"/>
    </xf>
    <xf numFmtId="0" fontId="12" fillId="0" borderId="0"/>
    <xf numFmtId="0" fontId="13" fillId="8" borderId="0"/>
    <xf numFmtId="0" fontId="15" fillId="0" borderId="0"/>
    <xf numFmtId="171" fontId="15" fillId="0" borderId="0"/>
    <xf numFmtId="0" fontId="1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</cellStyleXfs>
  <cellXfs count="146">
    <xf numFmtId="0" fontId="0" fillId="0" borderId="0" xfId="0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5" fillId="4" borderId="10" xfId="0" applyFont="1" applyFill="1" applyBorder="1" applyAlignment="1">
      <alignment horizontal="center" vertical="center" wrapText="1"/>
    </xf>
    <xf numFmtId="164" fontId="24" fillId="4" borderId="11" xfId="0" applyNumberFormat="1" applyFont="1" applyFill="1" applyBorder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5" fillId="0" borderId="6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0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65" fontId="27" fillId="0" borderId="4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64" fontId="24" fillId="9" borderId="4" xfId="0" applyNumberFormat="1" applyFont="1" applyFill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164" fontId="24" fillId="9" borderId="6" xfId="0" applyNumberFormat="1" applyFont="1" applyFill="1" applyBorder="1" applyAlignment="1">
      <alignment vertical="center" wrapText="1"/>
    </xf>
    <xf numFmtId="167" fontId="6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9" fontId="6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164" fontId="24" fillId="9" borderId="7" xfId="0" applyNumberFormat="1" applyFont="1" applyFill="1" applyBorder="1" applyAlignment="1">
      <alignment vertical="center" wrapText="1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24" fillId="4" borderId="9" xfId="0" applyFont="1" applyFill="1" applyBorder="1" applyAlignment="1">
      <alignment horizontal="left" vertical="center" wrapText="1"/>
    </xf>
    <xf numFmtId="164" fontId="24" fillId="2" borderId="6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170" fontId="0" fillId="0" borderId="0" xfId="0" applyNumberFormat="1"/>
    <xf numFmtId="0" fontId="6" fillId="0" borderId="0" xfId="0" applyFont="1" applyAlignment="1">
      <alignment horizontal="centerContinuous" vertical="center"/>
    </xf>
    <xf numFmtId="0" fontId="32" fillId="0" borderId="0" xfId="0" applyFont="1" applyAlignment="1">
      <alignment horizontal="centerContinuous" vertical="center" wrapText="1"/>
    </xf>
    <xf numFmtId="0" fontId="16" fillId="0" borderId="0" xfId="0" applyFont="1" applyAlignment="1">
      <alignment horizontal="centerContinuous" vertical="center"/>
    </xf>
    <xf numFmtId="0" fontId="17" fillId="0" borderId="0" xfId="0" applyFont="1" applyAlignment="1">
      <alignment horizontal="centerContinuous" vertical="center"/>
    </xf>
    <xf numFmtId="0" fontId="24" fillId="0" borderId="0" xfId="0" applyFont="1" applyAlignment="1">
      <alignment horizontal="centerContinuous" vertical="center" wrapText="1"/>
    </xf>
    <xf numFmtId="0" fontId="24" fillId="0" borderId="0" xfId="0" applyFont="1" applyAlignment="1">
      <alignment horizontal="centerContinuous" vertical="center"/>
    </xf>
    <xf numFmtId="0" fontId="38" fillId="0" borderId="4" xfId="0" applyFont="1" applyBorder="1" applyAlignment="1">
      <alignment vertical="center" wrapText="1"/>
    </xf>
    <xf numFmtId="0" fontId="16" fillId="0" borderId="0" xfId="0" applyFont="1" applyAlignment="1">
      <alignment horizontal="centerContinuous" vertical="center" wrapText="1"/>
    </xf>
    <xf numFmtId="0" fontId="17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/>
    </xf>
    <xf numFmtId="0" fontId="23" fillId="0" borderId="6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164" fontId="36" fillId="4" borderId="11" xfId="0" applyNumberFormat="1" applyFont="1" applyFill="1" applyBorder="1" applyAlignment="1">
      <alignment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/>
    </xf>
    <xf numFmtId="0" fontId="39" fillId="4" borderId="10" xfId="0" applyFont="1" applyFill="1" applyBorder="1" applyAlignment="1">
      <alignment horizontal="center" vertical="center" wrapText="1"/>
    </xf>
    <xf numFmtId="164" fontId="36" fillId="2" borderId="6" xfId="0" applyNumberFormat="1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0" fontId="38" fillId="0" borderId="0" xfId="0" applyFont="1" applyAlignment="1">
      <alignment horizontal="centerContinuous" vertical="center"/>
    </xf>
    <xf numFmtId="0" fontId="36" fillId="4" borderId="10" xfId="0" applyFont="1" applyFill="1" applyBorder="1" applyAlignment="1">
      <alignment horizontal="left" vertical="center" wrapText="1"/>
    </xf>
    <xf numFmtId="0" fontId="23" fillId="10" borderId="10" xfId="0" applyFont="1" applyFill="1" applyBorder="1" applyAlignment="1">
      <alignment horizontal="center" vertical="center" wrapText="1"/>
    </xf>
    <xf numFmtId="0" fontId="27" fillId="11" borderId="0" xfId="0" applyFont="1" applyFill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0" fontId="39" fillId="0" borderId="11" xfId="0" applyFont="1" applyBorder="1" applyAlignment="1">
      <alignment horizontal="left" vertical="center" wrapText="1"/>
    </xf>
    <xf numFmtId="0" fontId="27" fillId="10" borderId="16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0" fontId="39" fillId="0" borderId="5" xfId="0" applyFont="1" applyBorder="1" applyAlignment="1">
      <alignment horizontal="left" vertical="center" wrapText="1"/>
    </xf>
    <xf numFmtId="2" fontId="23" fillId="0" borderId="10" xfId="0" applyNumberFormat="1" applyFont="1" applyBorder="1" applyAlignment="1">
      <alignment horizontal="left" vertical="center" wrapText="1"/>
    </xf>
    <xf numFmtId="0" fontId="18" fillId="10" borderId="3" xfId="0" applyFont="1" applyFill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164" fontId="24" fillId="9" borderId="19" xfId="0" applyNumberFormat="1" applyFont="1" applyFill="1" applyBorder="1" applyAlignment="1">
      <alignment horizontal="center" vertical="center"/>
    </xf>
    <xf numFmtId="164" fontId="24" fillId="9" borderId="20" xfId="0" applyNumberFormat="1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164" fontId="24" fillId="9" borderId="22" xfId="0" applyNumberFormat="1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 wrapText="1"/>
    </xf>
    <xf numFmtId="164" fontId="24" fillId="4" borderId="4" xfId="0" applyNumberFormat="1" applyFont="1" applyFill="1" applyBorder="1" applyAlignment="1">
      <alignment vertical="center" wrapText="1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10" borderId="29" xfId="0" applyFont="1" applyFill="1" applyBorder="1" applyAlignment="1">
      <alignment horizontal="center" vertical="center"/>
    </xf>
    <xf numFmtId="0" fontId="42" fillId="0" borderId="0" xfId="0" applyFont="1" applyAlignment="1">
      <alignment horizontal="centerContinuous" vertical="center"/>
    </xf>
    <xf numFmtId="0" fontId="42" fillId="0" borderId="0" xfId="0" applyFont="1" applyAlignment="1">
      <alignment horizontal="centerContinuous" vertical="center" wrapText="1"/>
    </xf>
    <xf numFmtId="44" fontId="24" fillId="9" borderId="7" xfId="22" applyFont="1" applyFill="1" applyBorder="1" applyAlignment="1">
      <alignment horizontal="center" vertical="center"/>
    </xf>
    <xf numFmtId="44" fontId="24" fillId="9" borderId="6" xfId="22" applyFont="1" applyFill="1" applyBorder="1" applyAlignment="1">
      <alignment horizontal="center" vertical="center"/>
    </xf>
    <xf numFmtId="44" fontId="24" fillId="4" borderId="11" xfId="22" applyFont="1" applyFill="1" applyBorder="1" applyAlignment="1">
      <alignment vertical="center" wrapText="1"/>
    </xf>
    <xf numFmtId="0" fontId="18" fillId="11" borderId="0" xfId="0" applyFont="1" applyFill="1" applyAlignment="1">
      <alignment horizontal="left" vertical="center" wrapText="1"/>
    </xf>
    <xf numFmtId="0" fontId="24" fillId="11" borderId="4" xfId="0" applyFont="1" applyFill="1" applyBorder="1" applyAlignment="1">
      <alignment horizontal="center" vertical="center" wrapText="1"/>
    </xf>
    <xf numFmtId="0" fontId="24" fillId="11" borderId="5" xfId="0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0" fontId="30" fillId="0" borderId="0" xfId="0" applyFont="1"/>
    <xf numFmtId="0" fontId="24" fillId="11" borderId="0" xfId="0" applyFont="1" applyFill="1" applyAlignment="1">
      <alignment horizontal="center" vertical="center"/>
    </xf>
    <xf numFmtId="0" fontId="24" fillId="0" borderId="0" xfId="0" applyFont="1" applyAlignment="1">
      <alignment horizontal="centerContinuous" vertical="top" wrapText="1"/>
    </xf>
    <xf numFmtId="0" fontId="24" fillId="12" borderId="0" xfId="0" applyFont="1" applyFill="1" applyAlignment="1">
      <alignment horizontal="center" vertical="center"/>
    </xf>
    <xf numFmtId="44" fontId="36" fillId="12" borderId="0" xfId="22" applyFont="1" applyFill="1" applyAlignment="1">
      <alignment horizontal="center" vertical="center"/>
    </xf>
    <xf numFmtId="44" fontId="36" fillId="9" borderId="6" xfId="22" applyFont="1" applyFill="1" applyBorder="1" applyAlignment="1">
      <alignment horizontal="center" vertical="center" wrapText="1"/>
    </xf>
    <xf numFmtId="44" fontId="24" fillId="9" borderId="6" xfId="22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8" fillId="13" borderId="16" xfId="0" applyFont="1" applyFill="1" applyBorder="1" applyAlignment="1">
      <alignment horizontal="center" vertical="center"/>
    </xf>
    <xf numFmtId="0" fontId="48" fillId="13" borderId="16" xfId="0" applyFont="1" applyFill="1" applyBorder="1" applyAlignment="1">
      <alignment vertical="center"/>
    </xf>
    <xf numFmtId="0" fontId="49" fillId="0" borderId="0" xfId="0" applyFont="1"/>
    <xf numFmtId="44" fontId="48" fillId="12" borderId="16" xfId="0" applyNumberFormat="1" applyFont="1" applyFill="1" applyBorder="1" applyAlignment="1">
      <alignment vertical="center"/>
    </xf>
    <xf numFmtId="44" fontId="0" fillId="12" borderId="16" xfId="0" applyNumberFormat="1" applyFill="1" applyBorder="1"/>
    <xf numFmtId="0" fontId="41" fillId="9" borderId="3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41" fillId="9" borderId="3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40" fillId="9" borderId="3" xfId="0" applyFont="1" applyFill="1" applyBorder="1" applyAlignment="1">
      <alignment horizontal="center" vertical="center"/>
    </xf>
    <xf numFmtId="0" fontId="23" fillId="4" borderId="10" xfId="0" applyFont="1" applyFill="1" applyBorder="1"/>
    <xf numFmtId="0" fontId="23" fillId="4" borderId="9" xfId="0" applyFont="1" applyFill="1" applyBorder="1"/>
    <xf numFmtId="0" fontId="35" fillId="9" borderId="3" xfId="0" applyFont="1" applyFill="1" applyBorder="1" applyAlignment="1">
      <alignment horizontal="center" vertical="center" wrapText="1"/>
    </xf>
    <xf numFmtId="0" fontId="41" fillId="9" borderId="13" xfId="0" applyFont="1" applyFill="1" applyBorder="1" applyAlignment="1">
      <alignment horizontal="center" vertical="center" wrapText="1"/>
    </xf>
    <xf numFmtId="0" fontId="41" fillId="9" borderId="14" xfId="0" applyFont="1" applyFill="1" applyBorder="1" applyAlignment="1">
      <alignment horizontal="center" vertical="center" wrapText="1"/>
    </xf>
    <xf numFmtId="0" fontId="41" fillId="9" borderId="15" xfId="0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</cellXfs>
  <cellStyles count="23">
    <cellStyle name="Accent" xfId="2"/>
    <cellStyle name="Accent 1" xfId="3"/>
    <cellStyle name="Accent 2" xfId="4"/>
    <cellStyle name="Accent 3" xfId="5"/>
    <cellStyle name="Bad" xfId="6"/>
    <cellStyle name="Commentaire" xfId="1" builtinId="10" customBuiltin="1"/>
    <cellStyle name="Error" xfId="7"/>
    <cellStyle name="Euro" xfId="8"/>
    <cellStyle name="Footnote" xfId="9"/>
    <cellStyle name="Good" xfId="10"/>
    <cellStyle name="Heading" xfId="11"/>
    <cellStyle name="Heading 1" xfId="12"/>
    <cellStyle name="Heading 2" xfId="13"/>
    <cellStyle name="Heading1" xfId="14"/>
    <cellStyle name="Hyperlink" xfId="15"/>
    <cellStyle name="Monétaire" xfId="22" builtinId="4"/>
    <cellStyle name="Neutral" xfId="16"/>
    <cellStyle name="Normal" xfId="0" builtinId="0" customBuiltin="1"/>
    <cellStyle name="Result" xfId="17"/>
    <cellStyle name="Result2" xfId="18"/>
    <cellStyle name="Status" xfId="19"/>
    <cellStyle name="Text" xfId="20"/>
    <cellStyle name="Warning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207818</xdr:colOff>
      <xdr:row>0</xdr:row>
      <xdr:rowOff>502228</xdr:rowOff>
    </xdr:from>
    <xdr:to>
      <xdr:col>1</xdr:col>
      <xdr:colOff>1219262</xdr:colOff>
      <xdr:row>4</xdr:row>
      <xdr:rowOff>34637</xdr:rowOff>
    </xdr:to>
    <xdr:pic>
      <xdr:nvPicPr>
        <xdr:cNvPr id="3" name="Image 2" descr="Une image contenant texte, silhouette&#10;&#10;Description générée automatiquement">
          <a:extLst>
            <a:ext uri="{FF2B5EF4-FFF2-40B4-BE49-F238E27FC236}">
              <a16:creationId xmlns:a16="http://schemas.microsoft.com/office/drawing/2014/main" xmlns="" id="{8E7E451A-F419-902F-756E-113FEAFBC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502228"/>
          <a:ext cx="1981262" cy="1749136"/>
        </a:xfrm>
        <a:prstGeom prst="rect">
          <a:avLst/>
        </a:prstGeom>
      </xdr:spPr>
    </xdr:pic>
    <xdr:clientData/>
  </xdr:twoCellAnchor>
  <xdr:twoCellAnchor editAs="oneCell">
    <xdr:from>
      <xdr:col>3</xdr:col>
      <xdr:colOff>2822863</xdr:colOff>
      <xdr:row>2</xdr:row>
      <xdr:rowOff>278298</xdr:rowOff>
    </xdr:from>
    <xdr:to>
      <xdr:col>4</xdr:col>
      <xdr:colOff>2286000</xdr:colOff>
      <xdr:row>4</xdr:row>
      <xdr:rowOff>438960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DCE4B321-289C-4AFE-F39D-C33F9312B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10954" y="1386662"/>
          <a:ext cx="2337955" cy="1269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207819</xdr:colOff>
      <xdr:row>1</xdr:row>
      <xdr:rowOff>17318</xdr:rowOff>
    </xdr:from>
    <xdr:to>
      <xdr:col>1</xdr:col>
      <xdr:colOff>1375126</xdr:colOff>
      <xdr:row>4</xdr:row>
      <xdr:rowOff>103909</xdr:rowOff>
    </xdr:to>
    <xdr:pic>
      <xdr:nvPicPr>
        <xdr:cNvPr id="3" name="Image 2" descr="Une image contenant texte, silhouette&#10;&#10;Description générée automatiquement">
          <a:extLst>
            <a:ext uri="{FF2B5EF4-FFF2-40B4-BE49-F238E27FC236}">
              <a16:creationId xmlns:a16="http://schemas.microsoft.com/office/drawing/2014/main" xmlns="" id="{7D58CA06-AABA-4064-8CC9-9199AA95B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9" y="571500"/>
          <a:ext cx="1981262" cy="1749136"/>
        </a:xfrm>
        <a:prstGeom prst="rect">
          <a:avLst/>
        </a:prstGeom>
      </xdr:spPr>
    </xdr:pic>
    <xdr:clientData/>
  </xdr:twoCellAnchor>
  <xdr:twoCellAnchor editAs="oneCell">
    <xdr:from>
      <xdr:col>3</xdr:col>
      <xdr:colOff>2242703</xdr:colOff>
      <xdr:row>2</xdr:row>
      <xdr:rowOff>155863</xdr:rowOff>
    </xdr:from>
    <xdr:to>
      <xdr:col>4</xdr:col>
      <xdr:colOff>1902088</xdr:colOff>
      <xdr:row>4</xdr:row>
      <xdr:rowOff>329045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2BB456DC-376C-340C-82B7-5C5D0E115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0930" y="1264227"/>
          <a:ext cx="2361021" cy="12815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259772</xdr:colOff>
      <xdr:row>1</xdr:row>
      <xdr:rowOff>17317</xdr:rowOff>
    </xdr:from>
    <xdr:to>
      <xdr:col>1</xdr:col>
      <xdr:colOff>639636</xdr:colOff>
      <xdr:row>4</xdr:row>
      <xdr:rowOff>225135</xdr:rowOff>
    </xdr:to>
    <xdr:pic>
      <xdr:nvPicPr>
        <xdr:cNvPr id="3" name="Image 2" descr="Une image contenant texte, silhouette&#10;&#10;Description générée automatiquement">
          <a:extLst>
            <a:ext uri="{FF2B5EF4-FFF2-40B4-BE49-F238E27FC236}">
              <a16:creationId xmlns:a16="http://schemas.microsoft.com/office/drawing/2014/main" xmlns="" id="{5C8A4AE8-2DCE-72CF-E466-D3B348139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72" y="554181"/>
          <a:ext cx="2059728" cy="1818409"/>
        </a:xfrm>
        <a:prstGeom prst="rect">
          <a:avLst/>
        </a:prstGeom>
      </xdr:spPr>
    </xdr:pic>
    <xdr:clientData/>
  </xdr:twoCellAnchor>
  <xdr:twoCellAnchor editAs="oneCell">
    <xdr:from>
      <xdr:col>5</xdr:col>
      <xdr:colOff>69271</xdr:colOff>
      <xdr:row>1</xdr:row>
      <xdr:rowOff>467591</xdr:rowOff>
    </xdr:from>
    <xdr:to>
      <xdr:col>5</xdr:col>
      <xdr:colOff>2781256</xdr:colOff>
      <xdr:row>4</xdr:row>
      <xdr:rowOff>329046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BCA43935-E97E-B26F-6B10-F2E67882A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66180" y="1004455"/>
          <a:ext cx="2711985" cy="14720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225137</xdr:colOff>
      <xdr:row>1</xdr:row>
      <xdr:rowOff>277091</xdr:rowOff>
    </xdr:from>
    <xdr:to>
      <xdr:col>1</xdr:col>
      <xdr:colOff>607299</xdr:colOff>
      <xdr:row>4</xdr:row>
      <xdr:rowOff>415637</xdr:rowOff>
    </xdr:to>
    <xdr:pic>
      <xdr:nvPicPr>
        <xdr:cNvPr id="3" name="Image 2" descr="Une image contenant texte, silhouette&#10;&#10;Description générée automatiquement">
          <a:extLst>
            <a:ext uri="{FF2B5EF4-FFF2-40B4-BE49-F238E27FC236}">
              <a16:creationId xmlns:a16="http://schemas.microsoft.com/office/drawing/2014/main" xmlns="" id="{8196D8A5-53E3-CB46-8612-64094D60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137" y="813955"/>
          <a:ext cx="2079344" cy="1835727"/>
        </a:xfrm>
        <a:prstGeom prst="rect">
          <a:avLst/>
        </a:prstGeom>
      </xdr:spPr>
    </xdr:pic>
    <xdr:clientData/>
  </xdr:twoCellAnchor>
  <xdr:twoCellAnchor editAs="oneCell">
    <xdr:from>
      <xdr:col>5</xdr:col>
      <xdr:colOff>69272</xdr:colOff>
      <xdr:row>2</xdr:row>
      <xdr:rowOff>86592</xdr:rowOff>
    </xdr:from>
    <xdr:to>
      <xdr:col>5</xdr:col>
      <xdr:colOff>2701635</xdr:colOff>
      <xdr:row>4</xdr:row>
      <xdr:rowOff>441693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186E4DF6-2A5D-296A-E549-8A5832EA7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94681" y="1246910"/>
          <a:ext cx="2632363" cy="14288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204107</xdr:colOff>
      <xdr:row>1</xdr:row>
      <xdr:rowOff>380999</xdr:rowOff>
    </xdr:from>
    <xdr:to>
      <xdr:col>1</xdr:col>
      <xdr:colOff>994234</xdr:colOff>
      <xdr:row>4</xdr:row>
      <xdr:rowOff>68034</xdr:rowOff>
    </xdr:to>
    <xdr:pic>
      <xdr:nvPicPr>
        <xdr:cNvPr id="3" name="Image 2" descr="Une image contenant texte, silhouette&#10;&#10;Description générée automatiquement">
          <a:extLst>
            <a:ext uri="{FF2B5EF4-FFF2-40B4-BE49-F238E27FC236}">
              <a16:creationId xmlns:a16="http://schemas.microsoft.com/office/drawing/2014/main" xmlns="" id="{A34ED3B8-FCAC-D718-FD3F-0A720CBC9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66106"/>
          <a:ext cx="1633770" cy="144235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762001</xdr:colOff>
      <xdr:row>2</xdr:row>
      <xdr:rowOff>304783</xdr:rowOff>
    </xdr:from>
    <xdr:to>
      <xdr:col>4</xdr:col>
      <xdr:colOff>2612571</xdr:colOff>
      <xdr:row>4</xdr:row>
      <xdr:rowOff>139044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E596675B-9634-0F2F-BAFB-7B9E4F827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3608" y="1474997"/>
          <a:ext cx="1850570" cy="1004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BM201"/>
  <sheetViews>
    <sheetView showGridLines="0" zoomScale="55" zoomScaleNormal="55" workbookViewId="0">
      <selection activeCell="I6" sqref="I6"/>
    </sheetView>
  </sheetViews>
  <sheetFormatPr baseColWidth="10" defaultColWidth="11" defaultRowHeight="12.75" customHeight="1" x14ac:dyDescent="0.2"/>
  <cols>
    <col min="1" max="1" width="12.625" style="18" customWidth="1"/>
    <col min="2" max="2" width="103.75" style="5" customWidth="1"/>
    <col min="3" max="3" width="21.625" style="8" customWidth="1"/>
    <col min="4" max="4" width="37.75" style="5" customWidth="1"/>
    <col min="5" max="5" width="31.625" style="5" customWidth="1"/>
    <col min="6" max="6" width="7" style="5" customWidth="1"/>
    <col min="7" max="7" width="14.25" style="5" customWidth="1"/>
    <col min="8" max="8" width="9.875" style="8" customWidth="1"/>
    <col min="9" max="9" width="12.75" style="5" customWidth="1"/>
    <col min="10" max="10" width="14.375" style="5" customWidth="1"/>
    <col min="11" max="11" width="5.5" style="5" customWidth="1"/>
    <col min="12" max="12" width="100.5" style="5" customWidth="1"/>
    <col min="13" max="13" width="8.625" style="8" customWidth="1"/>
    <col min="14" max="65" width="10.5" style="5" customWidth="1"/>
  </cols>
  <sheetData>
    <row r="1" spans="1:13" ht="44.25" customHeight="1" x14ac:dyDescent="0.2"/>
    <row r="2" spans="1:13" ht="44.25" customHeight="1" x14ac:dyDescent="0.2">
      <c r="B2" s="58" t="s">
        <v>0</v>
      </c>
      <c r="C2" s="52"/>
      <c r="D2" s="52"/>
      <c r="E2" s="52"/>
    </row>
    <row r="3" spans="1:13" ht="44.25" customHeight="1" x14ac:dyDescent="0.2"/>
    <row r="4" spans="1:13" ht="44.25" customHeight="1" x14ac:dyDescent="0.2">
      <c r="B4" s="106" t="s">
        <v>1</v>
      </c>
      <c r="C4" s="53"/>
      <c r="D4" s="54"/>
      <c r="E4" s="54"/>
      <c r="F4" s="1"/>
      <c r="G4" s="1"/>
      <c r="H4" s="4"/>
      <c r="I4" s="4"/>
      <c r="J4" s="4"/>
      <c r="K4" s="4"/>
      <c r="L4" s="4"/>
      <c r="M4" s="4"/>
    </row>
    <row r="5" spans="1:13" ht="44.25" customHeight="1" x14ac:dyDescent="0.2">
      <c r="B5" s="7"/>
      <c r="C5" s="6"/>
      <c r="D5" s="7"/>
      <c r="E5" s="7"/>
    </row>
    <row r="6" spans="1:13" ht="38.25" customHeight="1" x14ac:dyDescent="0.2">
      <c r="B6" s="129" t="s">
        <v>2</v>
      </c>
      <c r="C6" s="130"/>
      <c r="D6" s="130"/>
      <c r="E6" s="130"/>
      <c r="F6" s="9"/>
      <c r="G6" s="9"/>
      <c r="H6" s="9"/>
      <c r="I6" s="9"/>
      <c r="J6" s="9"/>
      <c r="K6" s="9"/>
      <c r="L6" s="9"/>
      <c r="M6" s="9"/>
    </row>
    <row r="7" spans="1:13" ht="28.5" customHeight="1" x14ac:dyDescent="0.2">
      <c r="B7" s="131" t="s">
        <v>3</v>
      </c>
      <c r="C7" s="131"/>
      <c r="D7" s="131"/>
      <c r="E7" s="131"/>
      <c r="F7" s="10"/>
    </row>
    <row r="8" spans="1:13" ht="58.5" customHeight="1" x14ac:dyDescent="0.2">
      <c r="B8" s="132" t="s">
        <v>4</v>
      </c>
      <c r="C8" s="133"/>
      <c r="D8" s="133"/>
      <c r="E8" s="133"/>
      <c r="F8" s="10"/>
    </row>
    <row r="9" spans="1:13" ht="32.25" customHeight="1" x14ac:dyDescent="0.2">
      <c r="A9" s="117" t="s">
        <v>5</v>
      </c>
      <c r="B9" s="111"/>
      <c r="C9" s="112" t="s">
        <v>6</v>
      </c>
      <c r="D9" s="113" t="s">
        <v>131</v>
      </c>
      <c r="E9" s="112" t="s">
        <v>8</v>
      </c>
      <c r="H9" s="6"/>
      <c r="I9" s="6"/>
      <c r="J9" s="6"/>
      <c r="M9" s="6"/>
    </row>
    <row r="10" spans="1:13" ht="32.25" customHeight="1" x14ac:dyDescent="0.2">
      <c r="A10" s="81">
        <v>2110</v>
      </c>
      <c r="B10" s="82" t="s">
        <v>130</v>
      </c>
      <c r="C10" s="14" t="s">
        <v>9</v>
      </c>
      <c r="D10" s="68" t="s">
        <v>132</v>
      </c>
      <c r="E10" s="108"/>
      <c r="H10" s="6"/>
      <c r="I10" s="6"/>
      <c r="J10" s="6"/>
      <c r="M10" s="6"/>
    </row>
    <row r="11" spans="1:13" ht="24" customHeight="1" x14ac:dyDescent="0.2">
      <c r="A11" s="117" t="s">
        <v>5</v>
      </c>
      <c r="B11" s="111"/>
      <c r="C11" s="112" t="s">
        <v>6</v>
      </c>
      <c r="D11" s="113" t="s">
        <v>7</v>
      </c>
      <c r="E11" s="112" t="s">
        <v>8</v>
      </c>
      <c r="H11" s="6"/>
      <c r="I11" s="6"/>
      <c r="J11" s="6"/>
      <c r="M11" s="6"/>
    </row>
    <row r="12" spans="1:13" ht="23.25" x14ac:dyDescent="0.2">
      <c r="A12" s="81">
        <v>2111</v>
      </c>
      <c r="B12" s="82" t="s">
        <v>120</v>
      </c>
      <c r="C12" s="14" t="s">
        <v>9</v>
      </c>
      <c r="D12" s="68" t="s">
        <v>10</v>
      </c>
      <c r="E12" s="108"/>
    </row>
    <row r="13" spans="1:13" ht="23.25" x14ac:dyDescent="0.2">
      <c r="A13" s="81">
        <f>+IF(AND(B13="",A12=""),A9+1,A12+1)</f>
        <v>2112</v>
      </c>
      <c r="B13" s="83" t="s">
        <v>120</v>
      </c>
      <c r="C13" s="64" t="s">
        <v>9</v>
      </c>
      <c r="D13" s="70" t="s">
        <v>11</v>
      </c>
      <c r="E13" s="109"/>
    </row>
    <row r="14" spans="1:13" ht="23.25" x14ac:dyDescent="0.2">
      <c r="A14" s="81">
        <f t="shared" ref="A14" si="0">+IF(AND(B14="",A13=""),A12+1,A13+1)</f>
        <v>2113</v>
      </c>
      <c r="B14" s="84" t="s">
        <v>120</v>
      </c>
      <c r="C14" s="64" t="s">
        <v>9</v>
      </c>
      <c r="D14" s="70" t="s">
        <v>12</v>
      </c>
      <c r="E14" s="109"/>
    </row>
    <row r="15" spans="1:13" ht="23.25" x14ac:dyDescent="0.2">
      <c r="A15" s="87"/>
      <c r="B15" s="65"/>
      <c r="C15" s="65"/>
      <c r="D15" s="65"/>
      <c r="E15" s="110"/>
      <c r="G15" s="13"/>
      <c r="H15" s="14"/>
      <c r="I15" s="15"/>
      <c r="J15" s="16"/>
      <c r="L15" s="13"/>
      <c r="M15" s="14"/>
    </row>
    <row r="16" spans="1:13" ht="23.25" x14ac:dyDescent="0.2">
      <c r="A16" s="81">
        <f>+IF(AND(B16&lt;&gt;"",A15=""),A14+1,A15+1)</f>
        <v>2114</v>
      </c>
      <c r="B16" s="19" t="s">
        <v>13</v>
      </c>
      <c r="C16" s="63" t="s">
        <v>9</v>
      </c>
      <c r="D16" s="68" t="s">
        <v>10</v>
      </c>
      <c r="E16" s="108"/>
    </row>
    <row r="17" spans="1:13" ht="23.25" x14ac:dyDescent="0.2">
      <c r="A17" s="81">
        <f t="shared" ref="A17:A80" si="1">+IF(AND(B17&lt;&gt;"",A16=""),A15+1,A16+1)</f>
        <v>2115</v>
      </c>
      <c r="B17" s="84" t="s">
        <v>13</v>
      </c>
      <c r="C17" s="64" t="s">
        <v>9</v>
      </c>
      <c r="D17" s="70" t="s">
        <v>11</v>
      </c>
      <c r="E17" s="109"/>
    </row>
    <row r="18" spans="1:13" ht="23.25" x14ac:dyDescent="0.2">
      <c r="A18" s="81">
        <f t="shared" si="1"/>
        <v>2116</v>
      </c>
      <c r="B18" s="84" t="s">
        <v>13</v>
      </c>
      <c r="C18" s="64" t="s">
        <v>9</v>
      </c>
      <c r="D18" s="70" t="s">
        <v>12</v>
      </c>
      <c r="E18" s="109"/>
    </row>
    <row r="19" spans="1:13" ht="23.25" x14ac:dyDescent="0.2">
      <c r="A19" s="87"/>
      <c r="B19" s="65"/>
      <c r="C19" s="65"/>
      <c r="D19" s="65"/>
      <c r="E19" s="110"/>
      <c r="G19" s="13"/>
      <c r="H19" s="14"/>
      <c r="I19" s="15"/>
      <c r="J19" s="16"/>
    </row>
    <row r="20" spans="1:13" ht="23.25" x14ac:dyDescent="0.2">
      <c r="A20" s="81">
        <f t="shared" si="1"/>
        <v>2117</v>
      </c>
      <c r="B20" s="19" t="s">
        <v>14</v>
      </c>
      <c r="C20" s="63" t="s">
        <v>9</v>
      </c>
      <c r="D20" s="68" t="s">
        <v>10</v>
      </c>
      <c r="E20" s="108"/>
    </row>
    <row r="21" spans="1:13" ht="23.25" x14ac:dyDescent="0.2">
      <c r="A21" s="81">
        <f t="shared" si="1"/>
        <v>2118</v>
      </c>
      <c r="B21" s="84" t="s">
        <v>14</v>
      </c>
      <c r="C21" s="64" t="s">
        <v>9</v>
      </c>
      <c r="D21" s="70" t="s">
        <v>11</v>
      </c>
      <c r="E21" s="109"/>
    </row>
    <row r="22" spans="1:13" ht="23.25" x14ac:dyDescent="0.2">
      <c r="A22" s="81">
        <f t="shared" si="1"/>
        <v>2119</v>
      </c>
      <c r="B22" s="84" t="s">
        <v>14</v>
      </c>
      <c r="C22" s="64" t="s">
        <v>9</v>
      </c>
      <c r="D22" s="70" t="s">
        <v>12</v>
      </c>
      <c r="E22" s="109"/>
    </row>
    <row r="23" spans="1:13" ht="23.25" x14ac:dyDescent="0.2">
      <c r="A23" s="87"/>
      <c r="B23" s="65"/>
      <c r="C23" s="65"/>
      <c r="D23" s="65"/>
      <c r="E23" s="110"/>
      <c r="G23" s="13"/>
      <c r="H23" s="14"/>
      <c r="I23" s="15"/>
      <c r="J23" s="17"/>
    </row>
    <row r="24" spans="1:13" ht="23.25" x14ac:dyDescent="0.2">
      <c r="A24" s="81">
        <f t="shared" si="1"/>
        <v>2120</v>
      </c>
      <c r="B24" s="19" t="s">
        <v>15</v>
      </c>
      <c r="C24" s="63" t="s">
        <v>9</v>
      </c>
      <c r="D24" s="68" t="s">
        <v>10</v>
      </c>
      <c r="E24" s="108"/>
    </row>
    <row r="25" spans="1:13" ht="23.25" x14ac:dyDescent="0.2">
      <c r="A25" s="81">
        <f t="shared" si="1"/>
        <v>2121</v>
      </c>
      <c r="B25" s="84" t="s">
        <v>15</v>
      </c>
      <c r="C25" s="64" t="s">
        <v>9</v>
      </c>
      <c r="D25" s="70" t="s">
        <v>11</v>
      </c>
      <c r="E25" s="109"/>
    </row>
    <row r="26" spans="1:13" ht="23.25" x14ac:dyDescent="0.2">
      <c r="A26" s="81">
        <f t="shared" si="1"/>
        <v>2122</v>
      </c>
      <c r="B26" s="84" t="s">
        <v>15</v>
      </c>
      <c r="C26" s="64" t="s">
        <v>9</v>
      </c>
      <c r="D26" s="70" t="s">
        <v>12</v>
      </c>
      <c r="E26" s="109"/>
    </row>
    <row r="27" spans="1:13" ht="23.25" x14ac:dyDescent="0.2">
      <c r="A27" s="87"/>
      <c r="B27" s="65"/>
      <c r="C27" s="65"/>
      <c r="D27" s="65"/>
      <c r="E27" s="110"/>
      <c r="G27" s="13"/>
      <c r="H27" s="14"/>
      <c r="I27" s="15"/>
      <c r="J27" s="16"/>
    </row>
    <row r="28" spans="1:13" ht="23.25" x14ac:dyDescent="0.2">
      <c r="A28" s="81">
        <f t="shared" si="1"/>
        <v>2123</v>
      </c>
      <c r="B28" s="85" t="s">
        <v>16</v>
      </c>
      <c r="C28" s="63" t="s">
        <v>9</v>
      </c>
      <c r="D28" s="68" t="s">
        <v>10</v>
      </c>
      <c r="E28" s="108"/>
    </row>
    <row r="29" spans="1:13" ht="23.25" x14ac:dyDescent="0.2">
      <c r="A29" s="81">
        <f t="shared" si="1"/>
        <v>2124</v>
      </c>
      <c r="B29" s="82" t="s">
        <v>16</v>
      </c>
      <c r="C29" s="64" t="s">
        <v>9</v>
      </c>
      <c r="D29" s="70" t="s">
        <v>11</v>
      </c>
      <c r="E29" s="109"/>
    </row>
    <row r="30" spans="1:13" ht="23.25" x14ac:dyDescent="0.2">
      <c r="A30" s="81">
        <f t="shared" si="1"/>
        <v>2125</v>
      </c>
      <c r="B30" s="82" t="s">
        <v>16</v>
      </c>
      <c r="C30" s="64" t="s">
        <v>9</v>
      </c>
      <c r="D30" s="70" t="s">
        <v>12</v>
      </c>
      <c r="E30" s="109"/>
    </row>
    <row r="31" spans="1:13" ht="23.25" x14ac:dyDescent="0.2">
      <c r="A31" s="87"/>
      <c r="B31" s="65"/>
      <c r="C31" s="65"/>
      <c r="D31" s="65"/>
      <c r="E31" s="110"/>
      <c r="G31" s="13"/>
      <c r="H31" s="14"/>
      <c r="I31" s="15"/>
      <c r="J31" s="16"/>
    </row>
    <row r="32" spans="1:13" ht="23.25" x14ac:dyDescent="0.2">
      <c r="A32" s="81">
        <f t="shared" si="1"/>
        <v>2126</v>
      </c>
      <c r="B32" s="85" t="s">
        <v>17</v>
      </c>
      <c r="C32" s="63" t="s">
        <v>9</v>
      </c>
      <c r="D32" s="68" t="s">
        <v>10</v>
      </c>
      <c r="E32" s="108"/>
      <c r="H32" s="5"/>
      <c r="M32" s="5"/>
    </row>
    <row r="33" spans="1:13" ht="23.25" x14ac:dyDescent="0.2">
      <c r="A33" s="81">
        <f t="shared" si="1"/>
        <v>2127</v>
      </c>
      <c r="B33" s="82" t="s">
        <v>17</v>
      </c>
      <c r="C33" s="64" t="s">
        <v>9</v>
      </c>
      <c r="D33" s="70" t="s">
        <v>11</v>
      </c>
      <c r="E33" s="109"/>
      <c r="H33" s="5"/>
      <c r="M33" s="5"/>
    </row>
    <row r="34" spans="1:13" ht="23.25" x14ac:dyDescent="0.2">
      <c r="A34" s="81">
        <f t="shared" si="1"/>
        <v>2128</v>
      </c>
      <c r="B34" s="82" t="s">
        <v>17</v>
      </c>
      <c r="C34" s="64" t="s">
        <v>9</v>
      </c>
      <c r="D34" s="70" t="s">
        <v>12</v>
      </c>
      <c r="E34" s="109"/>
      <c r="H34" s="5"/>
      <c r="M34" s="5"/>
    </row>
    <row r="35" spans="1:13" ht="23.25" x14ac:dyDescent="0.2">
      <c r="A35" s="87"/>
      <c r="B35" s="65"/>
      <c r="C35" s="65"/>
      <c r="D35" s="65"/>
      <c r="E35" s="110"/>
      <c r="H35" s="5"/>
      <c r="M35" s="5"/>
    </row>
    <row r="36" spans="1:13" ht="23.25" x14ac:dyDescent="0.2">
      <c r="A36" s="81">
        <f t="shared" si="1"/>
        <v>2129</v>
      </c>
      <c r="B36" s="19" t="s">
        <v>18</v>
      </c>
      <c r="C36" s="63" t="s">
        <v>9</v>
      </c>
      <c r="D36" s="68" t="s">
        <v>10</v>
      </c>
      <c r="E36" s="108"/>
    </row>
    <row r="37" spans="1:13" ht="23.25" x14ac:dyDescent="0.2">
      <c r="A37" s="81">
        <f t="shared" si="1"/>
        <v>2130</v>
      </c>
      <c r="B37" s="84" t="s">
        <v>18</v>
      </c>
      <c r="C37" s="64" t="s">
        <v>9</v>
      </c>
      <c r="D37" s="70" t="s">
        <v>11</v>
      </c>
      <c r="E37" s="109"/>
    </row>
    <row r="38" spans="1:13" ht="23.25" x14ac:dyDescent="0.2">
      <c r="A38" s="81">
        <f t="shared" si="1"/>
        <v>2131</v>
      </c>
      <c r="B38" s="84" t="s">
        <v>18</v>
      </c>
      <c r="C38" s="64" t="s">
        <v>9</v>
      </c>
      <c r="D38" s="70" t="s">
        <v>12</v>
      </c>
      <c r="E38" s="109"/>
    </row>
    <row r="39" spans="1:13" ht="23.25" x14ac:dyDescent="0.2">
      <c r="A39" s="87"/>
      <c r="B39" s="65"/>
      <c r="C39" s="65"/>
      <c r="D39" s="65"/>
      <c r="E39" s="110"/>
    </row>
    <row r="40" spans="1:13" ht="23.25" x14ac:dyDescent="0.2">
      <c r="A40" s="81">
        <f t="shared" si="1"/>
        <v>2132</v>
      </c>
      <c r="B40" s="19" t="s">
        <v>19</v>
      </c>
      <c r="C40" s="63" t="s">
        <v>9</v>
      </c>
      <c r="D40" s="68" t="s">
        <v>10</v>
      </c>
      <c r="E40" s="108"/>
      <c r="G40" s="13"/>
      <c r="H40" s="14"/>
      <c r="I40" s="15"/>
      <c r="J40" s="16"/>
    </row>
    <row r="41" spans="1:13" ht="23.25" x14ac:dyDescent="0.2">
      <c r="A41" s="81">
        <f t="shared" si="1"/>
        <v>2133</v>
      </c>
      <c r="B41" s="84" t="s">
        <v>19</v>
      </c>
      <c r="C41" s="64" t="s">
        <v>9</v>
      </c>
      <c r="D41" s="70" t="s">
        <v>11</v>
      </c>
      <c r="E41" s="109"/>
    </row>
    <row r="42" spans="1:13" ht="23.25" x14ac:dyDescent="0.2">
      <c r="A42" s="81">
        <f t="shared" si="1"/>
        <v>2134</v>
      </c>
      <c r="B42" s="84" t="s">
        <v>19</v>
      </c>
      <c r="C42" s="64" t="s">
        <v>9</v>
      </c>
      <c r="D42" s="70" t="s">
        <v>12</v>
      </c>
      <c r="E42" s="109"/>
    </row>
    <row r="43" spans="1:13" ht="23.25" x14ac:dyDescent="0.2">
      <c r="A43" s="87"/>
      <c r="B43" s="65"/>
      <c r="C43" s="65"/>
      <c r="D43" s="65"/>
      <c r="E43" s="110"/>
    </row>
    <row r="44" spans="1:13" ht="23.25" x14ac:dyDescent="0.2">
      <c r="A44" s="81">
        <f t="shared" si="1"/>
        <v>2135</v>
      </c>
      <c r="B44" s="19" t="s">
        <v>20</v>
      </c>
      <c r="C44" s="63" t="s">
        <v>9</v>
      </c>
      <c r="D44" s="68" t="s">
        <v>10</v>
      </c>
      <c r="E44" s="108"/>
    </row>
    <row r="45" spans="1:13" ht="23.25" x14ac:dyDescent="0.2">
      <c r="A45" s="81">
        <f t="shared" si="1"/>
        <v>2136</v>
      </c>
      <c r="B45" s="84" t="s">
        <v>20</v>
      </c>
      <c r="C45" s="64" t="s">
        <v>9</v>
      </c>
      <c r="D45" s="70" t="s">
        <v>11</v>
      </c>
      <c r="E45" s="109"/>
      <c r="G45" s="13"/>
      <c r="H45" s="14"/>
      <c r="I45" s="15"/>
      <c r="J45" s="18"/>
      <c r="L45" s="19"/>
      <c r="M45" s="14"/>
    </row>
    <row r="46" spans="1:13" ht="23.25" x14ac:dyDescent="0.2">
      <c r="A46" s="81">
        <f t="shared" si="1"/>
        <v>2137</v>
      </c>
      <c r="B46" s="84" t="s">
        <v>20</v>
      </c>
      <c r="C46" s="64" t="s">
        <v>9</v>
      </c>
      <c r="D46" s="70" t="s">
        <v>12</v>
      </c>
      <c r="E46" s="109"/>
    </row>
    <row r="47" spans="1:13" ht="23.25" x14ac:dyDescent="0.2">
      <c r="A47" s="87"/>
      <c r="B47" s="65"/>
      <c r="C47" s="65"/>
      <c r="D47" s="65"/>
      <c r="E47" s="110"/>
    </row>
    <row r="48" spans="1:13" ht="23.25" x14ac:dyDescent="0.2">
      <c r="A48" s="81">
        <f t="shared" si="1"/>
        <v>2138</v>
      </c>
      <c r="B48" s="19" t="s">
        <v>21</v>
      </c>
      <c r="C48" s="63" t="s">
        <v>9</v>
      </c>
      <c r="D48" s="68" t="s">
        <v>10</v>
      </c>
      <c r="E48" s="108"/>
    </row>
    <row r="49" spans="1:10" ht="23.25" x14ac:dyDescent="0.2">
      <c r="A49" s="81">
        <f t="shared" si="1"/>
        <v>2139</v>
      </c>
      <c r="B49" s="84" t="s">
        <v>21</v>
      </c>
      <c r="C49" s="64" t="s">
        <v>9</v>
      </c>
      <c r="D49" s="70" t="s">
        <v>11</v>
      </c>
      <c r="E49" s="109"/>
      <c r="H49" s="5"/>
    </row>
    <row r="50" spans="1:10" ht="23.25" x14ac:dyDescent="0.2">
      <c r="A50" s="81">
        <f t="shared" si="1"/>
        <v>2140</v>
      </c>
      <c r="B50" s="84" t="s">
        <v>21</v>
      </c>
      <c r="C50" s="64" t="s">
        <v>9</v>
      </c>
      <c r="D50" s="70" t="s">
        <v>12</v>
      </c>
      <c r="E50" s="109"/>
      <c r="G50" s="13"/>
      <c r="H50" s="14"/>
      <c r="I50" s="15"/>
      <c r="J50" s="18"/>
    </row>
    <row r="51" spans="1:10" ht="23.25" x14ac:dyDescent="0.2">
      <c r="A51" s="87"/>
      <c r="B51" s="65"/>
      <c r="C51" s="65"/>
      <c r="D51" s="65"/>
      <c r="E51" s="110"/>
      <c r="G51" s="13"/>
      <c r="H51" s="14"/>
      <c r="I51" s="15"/>
      <c r="J51" s="18"/>
    </row>
    <row r="52" spans="1:10" ht="23.25" x14ac:dyDescent="0.2">
      <c r="A52" s="81">
        <f t="shared" si="1"/>
        <v>2141</v>
      </c>
      <c r="B52" s="19" t="s">
        <v>22</v>
      </c>
      <c r="C52" s="63" t="s">
        <v>9</v>
      </c>
      <c r="D52" s="68" t="s">
        <v>10</v>
      </c>
      <c r="E52" s="108"/>
      <c r="G52" s="13"/>
      <c r="H52" s="14"/>
      <c r="I52" s="15"/>
      <c r="J52" s="18"/>
    </row>
    <row r="53" spans="1:10" ht="23.25" x14ac:dyDescent="0.2">
      <c r="A53" s="81">
        <f t="shared" si="1"/>
        <v>2142</v>
      </c>
      <c r="B53" s="84" t="s">
        <v>22</v>
      </c>
      <c r="C53" s="64" t="s">
        <v>9</v>
      </c>
      <c r="D53" s="70" t="s">
        <v>11</v>
      </c>
      <c r="E53" s="109"/>
      <c r="G53" s="13"/>
      <c r="H53" s="14"/>
      <c r="I53" s="15"/>
      <c r="J53" s="18"/>
    </row>
    <row r="54" spans="1:10" ht="23.25" x14ac:dyDescent="0.2">
      <c r="A54" s="81">
        <f t="shared" si="1"/>
        <v>2143</v>
      </c>
      <c r="B54" s="84" t="s">
        <v>22</v>
      </c>
      <c r="C54" s="64" t="s">
        <v>9</v>
      </c>
      <c r="D54" s="70" t="s">
        <v>12</v>
      </c>
      <c r="E54" s="109"/>
      <c r="G54" s="13"/>
      <c r="H54" s="14"/>
      <c r="I54" s="15"/>
      <c r="J54" s="18"/>
    </row>
    <row r="55" spans="1:10" ht="23.25" x14ac:dyDescent="0.2">
      <c r="A55" s="87"/>
      <c r="B55" s="65"/>
      <c r="C55" s="65"/>
      <c r="D55" s="65"/>
      <c r="E55" s="110"/>
      <c r="G55" s="13"/>
      <c r="H55" s="14"/>
      <c r="I55" s="15"/>
      <c r="J55" s="18"/>
    </row>
    <row r="56" spans="1:10" ht="23.25" x14ac:dyDescent="0.2">
      <c r="A56" s="81">
        <f t="shared" si="1"/>
        <v>2144</v>
      </c>
      <c r="B56" s="19" t="s">
        <v>23</v>
      </c>
      <c r="C56" s="63" t="s">
        <v>9</v>
      </c>
      <c r="D56" s="68" t="s">
        <v>10</v>
      </c>
      <c r="E56" s="108"/>
      <c r="G56" s="13"/>
      <c r="H56" s="14"/>
      <c r="I56" s="15"/>
      <c r="J56" s="18"/>
    </row>
    <row r="57" spans="1:10" ht="23.25" x14ac:dyDescent="0.2">
      <c r="A57" s="81">
        <f t="shared" si="1"/>
        <v>2145</v>
      </c>
      <c r="B57" s="84" t="s">
        <v>23</v>
      </c>
      <c r="C57" s="64" t="s">
        <v>9</v>
      </c>
      <c r="D57" s="70" t="s">
        <v>11</v>
      </c>
      <c r="E57" s="109"/>
      <c r="G57" s="13"/>
      <c r="H57" s="14"/>
      <c r="I57" s="15"/>
      <c r="J57" s="18"/>
    </row>
    <row r="58" spans="1:10" ht="23.25" x14ac:dyDescent="0.2">
      <c r="A58" s="81">
        <f t="shared" si="1"/>
        <v>2146</v>
      </c>
      <c r="B58" s="84" t="s">
        <v>23</v>
      </c>
      <c r="C58" s="64" t="s">
        <v>9</v>
      </c>
      <c r="D58" s="70" t="s">
        <v>12</v>
      </c>
      <c r="E58" s="109"/>
      <c r="G58" s="13"/>
      <c r="H58" s="14"/>
      <c r="I58" s="15"/>
      <c r="J58" s="18"/>
    </row>
    <row r="59" spans="1:10" ht="23.25" x14ac:dyDescent="0.2">
      <c r="A59" s="87"/>
      <c r="B59" s="65"/>
      <c r="C59" s="65"/>
      <c r="D59" s="65"/>
      <c r="E59" s="110"/>
      <c r="G59" s="13"/>
      <c r="H59" s="14"/>
      <c r="I59" s="15"/>
      <c r="J59" s="18"/>
    </row>
    <row r="60" spans="1:10" ht="23.25" x14ac:dyDescent="0.2">
      <c r="A60" s="81">
        <f t="shared" si="1"/>
        <v>2147</v>
      </c>
      <c r="B60" s="19" t="s">
        <v>24</v>
      </c>
      <c r="C60" s="63" t="s">
        <v>9</v>
      </c>
      <c r="D60" s="68" t="s">
        <v>10</v>
      </c>
      <c r="E60" s="108"/>
      <c r="G60" s="13"/>
      <c r="H60" s="14"/>
      <c r="I60" s="15"/>
      <c r="J60" s="18"/>
    </row>
    <row r="61" spans="1:10" ht="23.25" x14ac:dyDescent="0.2">
      <c r="A61" s="81">
        <f t="shared" si="1"/>
        <v>2148</v>
      </c>
      <c r="B61" s="84" t="s">
        <v>24</v>
      </c>
      <c r="C61" s="64" t="s">
        <v>9</v>
      </c>
      <c r="D61" s="70" t="s">
        <v>11</v>
      </c>
      <c r="E61" s="109"/>
      <c r="G61" s="13"/>
      <c r="H61" s="14"/>
      <c r="I61" s="15"/>
      <c r="J61" s="18"/>
    </row>
    <row r="62" spans="1:10" ht="23.25" x14ac:dyDescent="0.2">
      <c r="A62" s="81">
        <f t="shared" si="1"/>
        <v>2149</v>
      </c>
      <c r="B62" s="84" t="s">
        <v>24</v>
      </c>
      <c r="C62" s="64" t="s">
        <v>9</v>
      </c>
      <c r="D62" s="70" t="s">
        <v>12</v>
      </c>
      <c r="E62" s="109"/>
      <c r="G62" s="13"/>
      <c r="H62" s="14"/>
      <c r="I62" s="15"/>
      <c r="J62" s="18"/>
    </row>
    <row r="63" spans="1:10" ht="23.25" x14ac:dyDescent="0.2">
      <c r="A63" s="87"/>
      <c r="B63" s="65"/>
      <c r="C63" s="65"/>
      <c r="D63" s="65"/>
      <c r="E63" s="110"/>
      <c r="G63" s="13"/>
      <c r="H63" s="14"/>
      <c r="I63" s="15"/>
      <c r="J63" s="18"/>
    </row>
    <row r="64" spans="1:10" ht="23.25" x14ac:dyDescent="0.2">
      <c r="A64" s="81">
        <f t="shared" si="1"/>
        <v>2150</v>
      </c>
      <c r="B64" s="19" t="s">
        <v>25</v>
      </c>
      <c r="C64" s="63" t="s">
        <v>9</v>
      </c>
      <c r="D64" s="68" t="s">
        <v>10</v>
      </c>
      <c r="E64" s="108"/>
      <c r="G64" s="13"/>
      <c r="H64" s="14"/>
      <c r="I64" s="15"/>
      <c r="J64" s="18"/>
    </row>
    <row r="65" spans="1:10" ht="23.25" x14ac:dyDescent="0.2">
      <c r="A65" s="81">
        <f t="shared" si="1"/>
        <v>2151</v>
      </c>
      <c r="B65" s="84" t="s">
        <v>25</v>
      </c>
      <c r="C65" s="64" t="s">
        <v>9</v>
      </c>
      <c r="D65" s="70" t="s">
        <v>11</v>
      </c>
      <c r="E65" s="109"/>
      <c r="G65" s="13"/>
      <c r="H65" s="14"/>
      <c r="I65" s="15"/>
      <c r="J65" s="18"/>
    </row>
    <row r="66" spans="1:10" ht="23.25" x14ac:dyDescent="0.2">
      <c r="A66" s="81">
        <f t="shared" si="1"/>
        <v>2152</v>
      </c>
      <c r="B66" s="84" t="s">
        <v>25</v>
      </c>
      <c r="C66" s="64" t="s">
        <v>9</v>
      </c>
      <c r="D66" s="70" t="s">
        <v>12</v>
      </c>
      <c r="E66" s="109"/>
      <c r="G66" s="13"/>
      <c r="H66" s="14"/>
      <c r="I66" s="15"/>
      <c r="J66" s="18"/>
    </row>
    <row r="67" spans="1:10" ht="23.25" x14ac:dyDescent="0.2">
      <c r="A67" s="87"/>
      <c r="B67" s="65"/>
      <c r="C67" s="65"/>
      <c r="D67" s="65"/>
      <c r="E67" s="110"/>
      <c r="G67" s="13"/>
      <c r="H67" s="14"/>
      <c r="I67" s="15"/>
      <c r="J67" s="18"/>
    </row>
    <row r="68" spans="1:10" ht="23.25" x14ac:dyDescent="0.2">
      <c r="A68" s="81">
        <f t="shared" si="1"/>
        <v>2153</v>
      </c>
      <c r="B68" s="19" t="s">
        <v>26</v>
      </c>
      <c r="C68" s="63" t="s">
        <v>9</v>
      </c>
      <c r="D68" s="68" t="s">
        <v>10</v>
      </c>
      <c r="E68" s="108"/>
      <c r="G68" s="13"/>
      <c r="H68" s="14"/>
      <c r="I68" s="15"/>
      <c r="J68" s="18"/>
    </row>
    <row r="69" spans="1:10" ht="23.25" x14ac:dyDescent="0.2">
      <c r="A69" s="81">
        <f t="shared" si="1"/>
        <v>2154</v>
      </c>
      <c r="B69" s="84" t="s">
        <v>26</v>
      </c>
      <c r="C69" s="64" t="s">
        <v>9</v>
      </c>
      <c r="D69" s="70" t="s">
        <v>11</v>
      </c>
      <c r="E69" s="109"/>
      <c r="G69" s="13"/>
      <c r="H69" s="14"/>
      <c r="I69" s="15"/>
      <c r="J69" s="18"/>
    </row>
    <row r="70" spans="1:10" ht="23.25" x14ac:dyDescent="0.2">
      <c r="A70" s="81">
        <f t="shared" si="1"/>
        <v>2155</v>
      </c>
      <c r="B70" s="84" t="s">
        <v>26</v>
      </c>
      <c r="C70" s="64" t="s">
        <v>9</v>
      </c>
      <c r="D70" s="70" t="s">
        <v>12</v>
      </c>
      <c r="E70" s="109"/>
      <c r="G70" s="13"/>
      <c r="H70" s="14"/>
      <c r="I70" s="15"/>
      <c r="J70" s="18"/>
    </row>
    <row r="71" spans="1:10" ht="23.25" x14ac:dyDescent="0.2">
      <c r="A71" s="87"/>
      <c r="B71" s="65"/>
      <c r="C71" s="65"/>
      <c r="D71" s="65"/>
      <c r="E71" s="110"/>
      <c r="G71" s="13"/>
      <c r="H71" s="14"/>
      <c r="I71" s="15"/>
      <c r="J71" s="18"/>
    </row>
    <row r="72" spans="1:10" ht="23.25" x14ac:dyDescent="0.2">
      <c r="A72" s="81">
        <f t="shared" si="1"/>
        <v>2156</v>
      </c>
      <c r="B72" s="19" t="s">
        <v>27</v>
      </c>
      <c r="C72" s="63" t="s">
        <v>9</v>
      </c>
      <c r="D72" s="68" t="s">
        <v>10</v>
      </c>
      <c r="E72" s="108"/>
      <c r="G72" s="13"/>
      <c r="H72" s="14"/>
      <c r="I72" s="15"/>
      <c r="J72" s="18"/>
    </row>
    <row r="73" spans="1:10" ht="23.25" x14ac:dyDescent="0.2">
      <c r="A73" s="81">
        <f t="shared" si="1"/>
        <v>2157</v>
      </c>
      <c r="B73" s="84" t="s">
        <v>27</v>
      </c>
      <c r="C73" s="64" t="s">
        <v>9</v>
      </c>
      <c r="D73" s="70" t="s">
        <v>11</v>
      </c>
      <c r="E73" s="109"/>
      <c r="G73" s="13"/>
      <c r="H73" s="14"/>
      <c r="I73" s="15"/>
      <c r="J73" s="18"/>
    </row>
    <row r="74" spans="1:10" ht="23.25" x14ac:dyDescent="0.2">
      <c r="A74" s="81">
        <f t="shared" si="1"/>
        <v>2158</v>
      </c>
      <c r="B74" s="84" t="s">
        <v>27</v>
      </c>
      <c r="C74" s="64" t="s">
        <v>9</v>
      </c>
      <c r="D74" s="70" t="s">
        <v>12</v>
      </c>
      <c r="E74" s="109"/>
      <c r="G74" s="13"/>
      <c r="H74" s="14"/>
      <c r="I74" s="15"/>
      <c r="J74" s="18"/>
    </row>
    <row r="75" spans="1:10" ht="23.25" x14ac:dyDescent="0.2">
      <c r="A75" s="87"/>
      <c r="B75" s="65"/>
      <c r="C75" s="65"/>
      <c r="D75" s="65"/>
      <c r="E75" s="110"/>
      <c r="G75" s="13"/>
      <c r="H75" s="14"/>
      <c r="I75" s="15"/>
      <c r="J75" s="18"/>
    </row>
    <row r="76" spans="1:10" ht="23.25" x14ac:dyDescent="0.2">
      <c r="A76" s="81">
        <f t="shared" si="1"/>
        <v>2159</v>
      </c>
      <c r="B76" s="19" t="s">
        <v>28</v>
      </c>
      <c r="C76" s="63" t="s">
        <v>9</v>
      </c>
      <c r="D76" s="68" t="s">
        <v>10</v>
      </c>
      <c r="E76" s="108"/>
      <c r="G76" s="13"/>
      <c r="H76" s="14"/>
      <c r="I76" s="15"/>
      <c r="J76" s="18"/>
    </row>
    <row r="77" spans="1:10" ht="23.25" x14ac:dyDescent="0.2">
      <c r="A77" s="81">
        <f t="shared" si="1"/>
        <v>2160</v>
      </c>
      <c r="B77" s="84" t="s">
        <v>28</v>
      </c>
      <c r="C77" s="64" t="s">
        <v>9</v>
      </c>
      <c r="D77" s="70" t="s">
        <v>11</v>
      </c>
      <c r="E77" s="109"/>
      <c r="G77" s="13"/>
      <c r="H77" s="14"/>
      <c r="I77" s="15"/>
      <c r="J77" s="18"/>
    </row>
    <row r="78" spans="1:10" ht="23.25" x14ac:dyDescent="0.2">
      <c r="A78" s="81">
        <f t="shared" si="1"/>
        <v>2161</v>
      </c>
      <c r="B78" s="84" t="s">
        <v>28</v>
      </c>
      <c r="C78" s="64" t="s">
        <v>9</v>
      </c>
      <c r="D78" s="70" t="s">
        <v>12</v>
      </c>
      <c r="E78" s="109"/>
      <c r="G78" s="13"/>
      <c r="H78" s="14"/>
      <c r="I78" s="15"/>
      <c r="J78" s="18"/>
    </row>
    <row r="79" spans="1:10" ht="23.25" x14ac:dyDescent="0.2">
      <c r="A79" s="87"/>
      <c r="B79" s="65"/>
      <c r="C79" s="65"/>
      <c r="D79" s="65"/>
      <c r="E79" s="110"/>
      <c r="G79" s="13"/>
      <c r="H79" s="14"/>
      <c r="I79" s="15"/>
      <c r="J79" s="18"/>
    </row>
    <row r="80" spans="1:10" ht="23.25" x14ac:dyDescent="0.2">
      <c r="A80" s="81">
        <f t="shared" si="1"/>
        <v>2162</v>
      </c>
      <c r="B80" s="19" t="s">
        <v>121</v>
      </c>
      <c r="C80" s="63" t="s">
        <v>9</v>
      </c>
      <c r="D80" s="68" t="s">
        <v>10</v>
      </c>
      <c r="E80" s="108"/>
      <c r="G80" s="13"/>
      <c r="H80" s="14"/>
      <c r="I80" s="15"/>
      <c r="J80" s="18"/>
    </row>
    <row r="81" spans="1:10" ht="23.25" x14ac:dyDescent="0.2">
      <c r="A81" s="81">
        <f t="shared" ref="A81:A126" si="2">+IF(AND(B81&lt;&gt;"",A80=""),A79+1,A80+1)</f>
        <v>2163</v>
      </c>
      <c r="B81" s="84" t="s">
        <v>121</v>
      </c>
      <c r="C81" s="64" t="s">
        <v>9</v>
      </c>
      <c r="D81" s="70" t="s">
        <v>11</v>
      </c>
      <c r="E81" s="109"/>
      <c r="G81" s="13"/>
      <c r="H81" s="14"/>
      <c r="I81" s="15"/>
      <c r="J81" s="18"/>
    </row>
    <row r="82" spans="1:10" ht="23.25" x14ac:dyDescent="0.2">
      <c r="A82" s="81">
        <f t="shared" si="2"/>
        <v>2164</v>
      </c>
      <c r="B82" s="84" t="s">
        <v>121</v>
      </c>
      <c r="C82" s="64" t="s">
        <v>9</v>
      </c>
      <c r="D82" s="70" t="s">
        <v>12</v>
      </c>
      <c r="E82" s="109"/>
      <c r="G82" s="13"/>
      <c r="H82" s="14"/>
      <c r="I82" s="15"/>
      <c r="J82" s="18"/>
    </row>
    <row r="83" spans="1:10" ht="23.25" x14ac:dyDescent="0.2">
      <c r="A83" s="87"/>
      <c r="B83" s="65"/>
      <c r="C83" s="65"/>
      <c r="D83" s="65"/>
      <c r="E83" s="110"/>
      <c r="G83" s="13"/>
      <c r="H83" s="14"/>
      <c r="I83" s="15"/>
      <c r="J83" s="18"/>
    </row>
    <row r="84" spans="1:10" ht="23.25" x14ac:dyDescent="0.2">
      <c r="A84" s="81">
        <f t="shared" si="2"/>
        <v>2165</v>
      </c>
      <c r="B84" s="19" t="s">
        <v>29</v>
      </c>
      <c r="C84" s="63" t="s">
        <v>9</v>
      </c>
      <c r="D84" s="68" t="s">
        <v>10</v>
      </c>
      <c r="E84" s="108"/>
      <c r="G84" s="13"/>
      <c r="H84" s="14"/>
      <c r="I84" s="15"/>
      <c r="J84" s="18"/>
    </row>
    <row r="85" spans="1:10" ht="23.25" x14ac:dyDescent="0.2">
      <c r="A85" s="81">
        <f t="shared" si="2"/>
        <v>2166</v>
      </c>
      <c r="B85" s="19" t="s">
        <v>29</v>
      </c>
      <c r="C85" s="64" t="s">
        <v>9</v>
      </c>
      <c r="D85" s="70" t="s">
        <v>11</v>
      </c>
      <c r="E85" s="109"/>
      <c r="G85" s="13"/>
      <c r="H85" s="14"/>
      <c r="I85" s="15"/>
      <c r="J85" s="18"/>
    </row>
    <row r="86" spans="1:10" ht="23.25" x14ac:dyDescent="0.2">
      <c r="A86" s="81">
        <f t="shared" si="2"/>
        <v>2167</v>
      </c>
      <c r="B86" s="19" t="s">
        <v>29</v>
      </c>
      <c r="C86" s="64" t="s">
        <v>9</v>
      </c>
      <c r="D86" s="70" t="s">
        <v>12</v>
      </c>
      <c r="E86" s="109"/>
      <c r="G86" s="13"/>
      <c r="H86" s="14"/>
      <c r="I86" s="15"/>
      <c r="J86" s="18"/>
    </row>
    <row r="87" spans="1:10" ht="23.25" x14ac:dyDescent="0.2">
      <c r="A87" s="87"/>
      <c r="B87" s="65"/>
      <c r="C87" s="65"/>
      <c r="D87" s="65"/>
      <c r="E87" s="110"/>
      <c r="G87" s="13"/>
      <c r="H87" s="14"/>
      <c r="I87" s="15"/>
      <c r="J87" s="18"/>
    </row>
    <row r="88" spans="1:10" ht="23.25" x14ac:dyDescent="0.2">
      <c r="A88" s="81">
        <f t="shared" si="2"/>
        <v>2168</v>
      </c>
      <c r="B88" s="19" t="s">
        <v>30</v>
      </c>
      <c r="C88" s="63" t="s">
        <v>9</v>
      </c>
      <c r="D88" s="68" t="s">
        <v>10</v>
      </c>
      <c r="E88" s="108"/>
      <c r="G88" s="13"/>
      <c r="H88" s="14"/>
      <c r="I88" s="15"/>
      <c r="J88" s="18"/>
    </row>
    <row r="89" spans="1:10" ht="23.25" x14ac:dyDescent="0.2">
      <c r="A89" s="81">
        <f t="shared" si="2"/>
        <v>2169</v>
      </c>
      <c r="B89" s="84" t="s">
        <v>30</v>
      </c>
      <c r="C89" s="64" t="s">
        <v>9</v>
      </c>
      <c r="D89" s="70" t="s">
        <v>11</v>
      </c>
      <c r="E89" s="109"/>
      <c r="G89" s="13"/>
      <c r="H89" s="14"/>
      <c r="I89" s="15"/>
      <c r="J89" s="18"/>
    </row>
    <row r="90" spans="1:10" ht="23.25" x14ac:dyDescent="0.2">
      <c r="A90" s="81">
        <f t="shared" si="2"/>
        <v>2170</v>
      </c>
      <c r="B90" s="84" t="s">
        <v>30</v>
      </c>
      <c r="C90" s="64" t="s">
        <v>9</v>
      </c>
      <c r="D90" s="70" t="s">
        <v>12</v>
      </c>
      <c r="E90" s="109"/>
      <c r="G90" s="13"/>
      <c r="H90" s="14"/>
      <c r="I90" s="15"/>
      <c r="J90" s="18"/>
    </row>
    <row r="91" spans="1:10" ht="23.25" x14ac:dyDescent="0.2">
      <c r="A91" s="87"/>
      <c r="B91" s="65"/>
      <c r="C91" s="65"/>
      <c r="D91" s="65"/>
      <c r="E91" s="110"/>
      <c r="G91" s="13"/>
      <c r="H91" s="14"/>
      <c r="I91" s="15"/>
      <c r="J91" s="18"/>
    </row>
    <row r="92" spans="1:10" ht="40.5" x14ac:dyDescent="0.2">
      <c r="A92" s="81">
        <f t="shared" si="2"/>
        <v>2171</v>
      </c>
      <c r="B92" s="85" t="s">
        <v>31</v>
      </c>
      <c r="C92" s="63" t="s">
        <v>9</v>
      </c>
      <c r="D92" s="68" t="s">
        <v>10</v>
      </c>
      <c r="E92" s="108"/>
      <c r="G92" s="13"/>
      <c r="H92" s="14"/>
      <c r="I92" s="15"/>
      <c r="J92" s="18"/>
    </row>
    <row r="93" spans="1:10" ht="40.5" x14ac:dyDescent="0.2">
      <c r="A93" s="81">
        <f t="shared" si="2"/>
        <v>2172</v>
      </c>
      <c r="B93" s="82" t="s">
        <v>31</v>
      </c>
      <c r="C93" s="64" t="s">
        <v>9</v>
      </c>
      <c r="D93" s="70" t="s">
        <v>11</v>
      </c>
      <c r="E93" s="109"/>
      <c r="G93" s="13"/>
      <c r="H93" s="14"/>
      <c r="I93" s="15"/>
      <c r="J93" s="18"/>
    </row>
    <row r="94" spans="1:10" ht="40.5" x14ac:dyDescent="0.2">
      <c r="A94" s="81">
        <f t="shared" si="2"/>
        <v>2173</v>
      </c>
      <c r="B94" s="82" t="s">
        <v>31</v>
      </c>
      <c r="C94" s="64" t="s">
        <v>9</v>
      </c>
      <c r="D94" s="70" t="s">
        <v>12</v>
      </c>
      <c r="E94" s="109"/>
      <c r="G94" s="13"/>
      <c r="H94" s="14"/>
      <c r="I94" s="15"/>
      <c r="J94" s="18"/>
    </row>
    <row r="95" spans="1:10" ht="23.25" x14ac:dyDescent="0.2">
      <c r="A95" s="87"/>
      <c r="B95" s="65"/>
      <c r="C95" s="65"/>
      <c r="D95" s="65"/>
      <c r="E95" s="110"/>
      <c r="G95" s="13"/>
      <c r="H95" s="14"/>
      <c r="I95" s="15"/>
      <c r="J95" s="18"/>
    </row>
    <row r="96" spans="1:10" ht="23.25" x14ac:dyDescent="0.2">
      <c r="A96" s="81">
        <f t="shared" si="2"/>
        <v>2174</v>
      </c>
      <c r="B96" s="19" t="s">
        <v>32</v>
      </c>
      <c r="C96" s="63" t="s">
        <v>9</v>
      </c>
      <c r="D96" s="68" t="s">
        <v>33</v>
      </c>
      <c r="E96" s="108"/>
      <c r="G96" s="13"/>
      <c r="H96" s="14"/>
      <c r="I96" s="15"/>
      <c r="J96" s="18"/>
    </row>
    <row r="97" spans="1:10" ht="23.25" x14ac:dyDescent="0.2">
      <c r="A97" s="81">
        <f t="shared" si="2"/>
        <v>2175</v>
      </c>
      <c r="B97" s="82" t="s">
        <v>32</v>
      </c>
      <c r="C97" s="64" t="s">
        <v>9</v>
      </c>
      <c r="D97" s="70" t="s">
        <v>34</v>
      </c>
      <c r="E97" s="109"/>
      <c r="G97" s="13"/>
      <c r="H97" s="14"/>
      <c r="I97" s="15"/>
      <c r="J97" s="18"/>
    </row>
    <row r="98" spans="1:10" ht="23.25" x14ac:dyDescent="0.2">
      <c r="A98" s="81">
        <f t="shared" si="2"/>
        <v>2176</v>
      </c>
      <c r="B98" s="82" t="s">
        <v>32</v>
      </c>
      <c r="C98" s="64" t="s">
        <v>9</v>
      </c>
      <c r="D98" s="70" t="s">
        <v>35</v>
      </c>
      <c r="E98" s="109"/>
      <c r="G98" s="13"/>
      <c r="H98" s="14"/>
      <c r="I98" s="15"/>
      <c r="J98" s="18"/>
    </row>
    <row r="99" spans="1:10" ht="23.25" x14ac:dyDescent="0.2">
      <c r="A99" s="87"/>
      <c r="B99" s="65"/>
      <c r="C99" s="65"/>
      <c r="D99" s="65"/>
      <c r="E99" s="110"/>
      <c r="G99" s="13"/>
      <c r="H99" s="14"/>
      <c r="I99" s="15"/>
      <c r="J99" s="18"/>
    </row>
    <row r="100" spans="1:10" ht="23.25" x14ac:dyDescent="0.2">
      <c r="A100" s="81">
        <f t="shared" si="2"/>
        <v>2177</v>
      </c>
      <c r="B100" s="19" t="s">
        <v>36</v>
      </c>
      <c r="C100" s="63" t="s">
        <v>9</v>
      </c>
      <c r="D100" s="68" t="s">
        <v>33</v>
      </c>
      <c r="E100" s="108"/>
      <c r="G100" s="13"/>
      <c r="H100" s="14"/>
      <c r="I100" s="15"/>
      <c r="J100" s="18"/>
    </row>
    <row r="101" spans="1:10" ht="23.25" x14ac:dyDescent="0.2">
      <c r="A101" s="81">
        <f t="shared" si="2"/>
        <v>2178</v>
      </c>
      <c r="B101" s="82" t="s">
        <v>36</v>
      </c>
      <c r="C101" s="64" t="s">
        <v>9</v>
      </c>
      <c r="D101" s="70" t="s">
        <v>34</v>
      </c>
      <c r="E101" s="109"/>
      <c r="G101" s="13"/>
      <c r="H101" s="14"/>
      <c r="I101" s="15"/>
      <c r="J101" s="18"/>
    </row>
    <row r="102" spans="1:10" ht="23.25" x14ac:dyDescent="0.2">
      <c r="A102" s="81">
        <f t="shared" si="2"/>
        <v>2179</v>
      </c>
      <c r="B102" s="82" t="s">
        <v>36</v>
      </c>
      <c r="C102" s="64" t="s">
        <v>9</v>
      </c>
      <c r="D102" s="70" t="s">
        <v>35</v>
      </c>
      <c r="E102" s="109"/>
      <c r="G102" s="13"/>
      <c r="H102" s="14"/>
      <c r="I102" s="15"/>
      <c r="J102" s="18"/>
    </row>
    <row r="103" spans="1:10" ht="23.25" x14ac:dyDescent="0.2">
      <c r="A103" s="87"/>
      <c r="B103" s="65"/>
      <c r="C103" s="65"/>
      <c r="D103" s="65"/>
      <c r="E103" s="110"/>
      <c r="G103" s="13"/>
      <c r="H103" s="14"/>
      <c r="I103" s="15"/>
      <c r="J103" s="18"/>
    </row>
    <row r="104" spans="1:10" ht="23.25" x14ac:dyDescent="0.2">
      <c r="A104" s="81">
        <f t="shared" si="2"/>
        <v>2180</v>
      </c>
      <c r="B104" s="19" t="s">
        <v>37</v>
      </c>
      <c r="C104" s="63" t="s">
        <v>38</v>
      </c>
      <c r="D104" s="68" t="s">
        <v>33</v>
      </c>
      <c r="E104" s="108"/>
      <c r="G104" s="13"/>
      <c r="H104" s="14"/>
      <c r="I104" s="15"/>
      <c r="J104" s="18"/>
    </row>
    <row r="105" spans="1:10" ht="23.25" x14ac:dyDescent="0.2">
      <c r="A105" s="81">
        <f t="shared" si="2"/>
        <v>2181</v>
      </c>
      <c r="B105" s="82" t="s">
        <v>37</v>
      </c>
      <c r="C105" s="64" t="s">
        <v>38</v>
      </c>
      <c r="D105" s="70" t="s">
        <v>34</v>
      </c>
      <c r="E105" s="109"/>
      <c r="G105" s="13"/>
      <c r="H105" s="14"/>
      <c r="I105" s="15"/>
      <c r="J105" s="18"/>
    </row>
    <row r="106" spans="1:10" ht="23.25" x14ac:dyDescent="0.2">
      <c r="A106" s="81">
        <f t="shared" si="2"/>
        <v>2182</v>
      </c>
      <c r="B106" s="84" t="s">
        <v>37</v>
      </c>
      <c r="C106" s="64" t="s">
        <v>38</v>
      </c>
      <c r="D106" s="70" t="s">
        <v>35</v>
      </c>
      <c r="E106" s="109"/>
      <c r="G106" s="13"/>
      <c r="H106" s="14"/>
      <c r="I106" s="15"/>
      <c r="J106" s="18"/>
    </row>
    <row r="107" spans="1:10" ht="23.25" x14ac:dyDescent="0.2">
      <c r="A107" s="87"/>
      <c r="B107" s="79"/>
      <c r="C107" s="65"/>
      <c r="D107" s="65"/>
      <c r="E107" s="110"/>
      <c r="G107" s="13"/>
      <c r="H107" s="14"/>
      <c r="I107" s="15"/>
      <c r="J107" s="18"/>
    </row>
    <row r="108" spans="1:10" ht="23.25" x14ac:dyDescent="0.2">
      <c r="A108" s="81">
        <f t="shared" si="2"/>
        <v>2183</v>
      </c>
      <c r="B108" s="86" t="s">
        <v>39</v>
      </c>
      <c r="C108" s="72" t="s">
        <v>40</v>
      </c>
      <c r="D108" s="73" t="s">
        <v>41</v>
      </c>
      <c r="E108" s="109"/>
      <c r="G108" s="13"/>
      <c r="H108" s="14"/>
      <c r="I108" s="15"/>
      <c r="J108" s="18"/>
    </row>
    <row r="109" spans="1:10" ht="23.25" x14ac:dyDescent="0.2">
      <c r="A109" s="81">
        <f>+IF(AND(B109&lt;&gt;"",A108=""),#REF!+1,A108+1)</f>
        <v>2184</v>
      </c>
      <c r="B109" s="86" t="s">
        <v>39</v>
      </c>
      <c r="C109" s="72" t="s">
        <v>40</v>
      </c>
      <c r="D109" s="73" t="s">
        <v>42</v>
      </c>
      <c r="E109" s="109"/>
      <c r="G109" s="13"/>
      <c r="H109" s="14"/>
      <c r="I109" s="15"/>
      <c r="J109" s="18"/>
    </row>
    <row r="110" spans="1:10" ht="23.25" x14ac:dyDescent="0.2">
      <c r="A110" s="81">
        <f t="shared" si="2"/>
        <v>2185</v>
      </c>
      <c r="B110" s="86" t="s">
        <v>39</v>
      </c>
      <c r="C110" s="72" t="s">
        <v>40</v>
      </c>
      <c r="D110" s="73" t="s">
        <v>43</v>
      </c>
      <c r="E110" s="109"/>
      <c r="G110" s="13"/>
      <c r="H110" s="14"/>
      <c r="I110" s="15"/>
      <c r="J110" s="18"/>
    </row>
    <row r="111" spans="1:10" ht="23.25" x14ac:dyDescent="0.2">
      <c r="A111" s="87"/>
      <c r="B111" s="74"/>
      <c r="C111" s="74"/>
      <c r="D111" s="74"/>
      <c r="E111" s="110"/>
      <c r="G111" s="13"/>
      <c r="H111" s="14"/>
      <c r="I111" s="15"/>
      <c r="J111" s="18"/>
    </row>
    <row r="112" spans="1:10" ht="23.25" x14ac:dyDescent="0.2">
      <c r="A112" s="81">
        <f t="shared" si="2"/>
        <v>2186</v>
      </c>
      <c r="B112" s="86" t="s">
        <v>44</v>
      </c>
      <c r="C112" s="72" t="s">
        <v>40</v>
      </c>
      <c r="D112" s="73" t="s">
        <v>41</v>
      </c>
      <c r="E112" s="109"/>
      <c r="G112" s="13"/>
      <c r="H112" s="14"/>
      <c r="I112" s="15"/>
      <c r="J112" s="18"/>
    </row>
    <row r="113" spans="1:10" ht="23.25" x14ac:dyDescent="0.2">
      <c r="A113" s="81">
        <f t="shared" si="2"/>
        <v>2187</v>
      </c>
      <c r="B113" s="86" t="s">
        <v>44</v>
      </c>
      <c r="C113" s="72" t="s">
        <v>40</v>
      </c>
      <c r="D113" s="73" t="s">
        <v>42</v>
      </c>
      <c r="E113" s="109"/>
      <c r="G113" s="13"/>
      <c r="H113" s="14"/>
      <c r="I113" s="15"/>
      <c r="J113" s="18"/>
    </row>
    <row r="114" spans="1:10" ht="23.25" x14ac:dyDescent="0.2">
      <c r="A114" s="81">
        <f t="shared" si="2"/>
        <v>2188</v>
      </c>
      <c r="B114" s="86" t="s">
        <v>44</v>
      </c>
      <c r="C114" s="72" t="s">
        <v>40</v>
      </c>
      <c r="D114" s="73" t="s">
        <v>43</v>
      </c>
      <c r="E114" s="109"/>
      <c r="G114" s="13"/>
      <c r="H114" s="14"/>
      <c r="I114" s="15"/>
      <c r="J114" s="18"/>
    </row>
    <row r="115" spans="1:10" ht="23.25" x14ac:dyDescent="0.2">
      <c r="A115" s="87"/>
      <c r="B115" s="74"/>
      <c r="C115" s="74"/>
      <c r="D115" s="74"/>
      <c r="E115" s="110"/>
      <c r="G115" s="13"/>
      <c r="H115" s="14"/>
      <c r="I115" s="15"/>
      <c r="J115" s="18"/>
    </row>
    <row r="116" spans="1:10" ht="23.25" x14ac:dyDescent="0.2">
      <c r="A116" s="81">
        <f t="shared" si="2"/>
        <v>2189</v>
      </c>
      <c r="B116" s="86" t="s">
        <v>45</v>
      </c>
      <c r="C116" s="72" t="s">
        <v>40</v>
      </c>
      <c r="D116" s="73" t="s">
        <v>41</v>
      </c>
      <c r="E116" s="109"/>
      <c r="G116" s="13"/>
      <c r="H116" s="14"/>
      <c r="I116" s="15"/>
      <c r="J116" s="18"/>
    </row>
    <row r="117" spans="1:10" ht="23.25" x14ac:dyDescent="0.2">
      <c r="A117" s="81">
        <f t="shared" si="2"/>
        <v>2190</v>
      </c>
      <c r="B117" s="86" t="s">
        <v>45</v>
      </c>
      <c r="C117" s="72" t="s">
        <v>40</v>
      </c>
      <c r="D117" s="73" t="s">
        <v>42</v>
      </c>
      <c r="E117" s="109"/>
      <c r="G117" s="13"/>
      <c r="H117" s="14"/>
      <c r="I117" s="15"/>
      <c r="J117" s="18"/>
    </row>
    <row r="118" spans="1:10" ht="23.25" x14ac:dyDescent="0.2">
      <c r="A118" s="81">
        <f t="shared" si="2"/>
        <v>2191</v>
      </c>
      <c r="B118" s="86" t="s">
        <v>45</v>
      </c>
      <c r="C118" s="72" t="s">
        <v>40</v>
      </c>
      <c r="D118" s="73" t="s">
        <v>43</v>
      </c>
      <c r="E118" s="109"/>
      <c r="G118" s="13"/>
      <c r="H118" s="14"/>
      <c r="I118" s="15"/>
      <c r="J118" s="18"/>
    </row>
    <row r="119" spans="1:10" ht="23.25" x14ac:dyDescent="0.2">
      <c r="A119" s="87"/>
      <c r="B119" s="65"/>
      <c r="C119" s="65"/>
      <c r="D119" s="65"/>
      <c r="E119" s="110"/>
      <c r="G119" s="13"/>
      <c r="H119" s="14"/>
      <c r="I119" s="15"/>
      <c r="J119" s="18"/>
    </row>
    <row r="120" spans="1:10" ht="23.25" x14ac:dyDescent="0.2">
      <c r="A120" s="81">
        <f t="shared" si="2"/>
        <v>2192</v>
      </c>
      <c r="B120" s="19" t="s">
        <v>46</v>
      </c>
      <c r="C120" s="63" t="s">
        <v>9</v>
      </c>
      <c r="D120" s="68" t="s">
        <v>47</v>
      </c>
      <c r="E120" s="108"/>
      <c r="G120" s="13"/>
      <c r="H120" s="14"/>
      <c r="I120" s="15"/>
      <c r="J120" s="18"/>
    </row>
    <row r="121" spans="1:10" ht="23.25" x14ac:dyDescent="0.2">
      <c r="A121" s="81">
        <f t="shared" si="2"/>
        <v>2193</v>
      </c>
      <c r="B121" s="84" t="s">
        <v>46</v>
      </c>
      <c r="C121" s="64" t="s">
        <v>9</v>
      </c>
      <c r="D121" s="70" t="s">
        <v>48</v>
      </c>
      <c r="E121" s="109"/>
      <c r="G121" s="13"/>
      <c r="H121" s="14"/>
      <c r="I121" s="15"/>
      <c r="J121" s="18"/>
    </row>
    <row r="122" spans="1:10" ht="23.25" x14ac:dyDescent="0.2">
      <c r="A122" s="81">
        <f t="shared" si="2"/>
        <v>2194</v>
      </c>
      <c r="B122" s="82" t="s">
        <v>46</v>
      </c>
      <c r="C122" s="64" t="s">
        <v>9</v>
      </c>
      <c r="D122" s="70" t="s">
        <v>49</v>
      </c>
      <c r="E122" s="109"/>
      <c r="G122" s="13"/>
      <c r="H122" s="14"/>
      <c r="I122" s="15"/>
      <c r="J122" s="18"/>
    </row>
    <row r="123" spans="1:10" ht="23.25" x14ac:dyDescent="0.2">
      <c r="A123" s="87"/>
      <c r="B123" s="65"/>
      <c r="C123" s="65"/>
      <c r="D123" s="65"/>
      <c r="E123" s="110"/>
      <c r="G123" s="13"/>
      <c r="H123" s="14"/>
      <c r="I123" s="15"/>
      <c r="J123" s="18"/>
    </row>
    <row r="124" spans="1:10" ht="23.25" x14ac:dyDescent="0.2">
      <c r="A124" s="81">
        <f t="shared" si="2"/>
        <v>2195</v>
      </c>
      <c r="B124" s="85" t="s">
        <v>50</v>
      </c>
      <c r="C124" s="63" t="s">
        <v>9</v>
      </c>
      <c r="D124" s="68" t="s">
        <v>10</v>
      </c>
      <c r="E124" s="108"/>
      <c r="G124" s="13"/>
      <c r="H124" s="14"/>
      <c r="I124" s="15"/>
      <c r="J124" s="18"/>
    </row>
    <row r="125" spans="1:10" ht="23.25" x14ac:dyDescent="0.2">
      <c r="A125" s="81">
        <f t="shared" si="2"/>
        <v>2196</v>
      </c>
      <c r="B125" s="82" t="s">
        <v>50</v>
      </c>
      <c r="C125" s="64" t="s">
        <v>9</v>
      </c>
      <c r="D125" s="70" t="s">
        <v>51</v>
      </c>
      <c r="E125" s="109"/>
      <c r="G125" s="13"/>
      <c r="H125" s="14"/>
      <c r="I125" s="15"/>
      <c r="J125" s="18"/>
    </row>
    <row r="126" spans="1:10" ht="23.25" x14ac:dyDescent="0.2">
      <c r="A126" s="81">
        <f t="shared" si="2"/>
        <v>2197</v>
      </c>
      <c r="B126" s="82" t="s">
        <v>50</v>
      </c>
      <c r="C126" s="64" t="s">
        <v>9</v>
      </c>
      <c r="D126" s="70" t="s">
        <v>52</v>
      </c>
      <c r="E126" s="109"/>
      <c r="G126" s="13"/>
      <c r="H126" s="14"/>
      <c r="I126" s="15"/>
      <c r="J126" s="18"/>
    </row>
    <row r="127" spans="1:10" ht="43.5" customHeight="1" x14ac:dyDescent="0.2">
      <c r="B127" s="13"/>
      <c r="C127" s="14"/>
      <c r="D127" s="119" t="s">
        <v>122</v>
      </c>
      <c r="E127" s="120">
        <f>SUM(E12:E126)</f>
        <v>0</v>
      </c>
      <c r="G127" s="21"/>
      <c r="H127" s="22"/>
      <c r="I127" s="23"/>
      <c r="J127" s="16"/>
    </row>
    <row r="128" spans="1:10" ht="23.25" customHeight="1" x14ac:dyDescent="0.2">
      <c r="B128" s="13"/>
      <c r="C128" s="14"/>
      <c r="D128" s="15"/>
      <c r="E128" s="24"/>
      <c r="G128" s="21"/>
      <c r="H128" s="22"/>
      <c r="I128" s="23"/>
      <c r="J128" s="16"/>
    </row>
    <row r="133" spans="2:65" ht="12.75" customHeight="1" x14ac:dyDescent="0.2">
      <c r="B133" s="25"/>
      <c r="C133" s="26"/>
      <c r="D133" s="25"/>
      <c r="E133" s="25"/>
    </row>
    <row r="134" spans="2:65" ht="12.75" customHeight="1" x14ac:dyDescent="0.2">
      <c r="B134" s="25"/>
      <c r="C134" s="26"/>
      <c r="D134" s="25"/>
      <c r="E134" s="25"/>
    </row>
    <row r="135" spans="2:65" ht="12.75" customHeight="1" x14ac:dyDescent="0.2">
      <c r="B135" s="25"/>
      <c r="C135" s="26"/>
      <c r="D135" s="25"/>
      <c r="E135" s="25"/>
    </row>
    <row r="136" spans="2:65" ht="12.75" customHeight="1" x14ac:dyDescent="0.2">
      <c r="B136" s="25"/>
      <c r="C136" s="26"/>
      <c r="D136" s="25"/>
      <c r="E136" s="25"/>
    </row>
    <row r="137" spans="2:65" ht="12.75" customHeight="1" x14ac:dyDescent="0.2">
      <c r="F137" s="25"/>
    </row>
    <row r="138" spans="2:65" ht="12.75" customHeight="1" x14ac:dyDescent="0.2">
      <c r="F138" s="25"/>
      <c r="K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</row>
    <row r="139" spans="2:65" ht="12.75" customHeight="1" x14ac:dyDescent="0.2">
      <c r="F139" s="25"/>
      <c r="K139" s="25"/>
      <c r="L139" s="25"/>
      <c r="M139" s="26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</row>
    <row r="140" spans="2:65" ht="12.75" customHeight="1" x14ac:dyDescent="0.2">
      <c r="F140" s="25"/>
      <c r="K140" s="25"/>
      <c r="L140" s="25"/>
      <c r="M140" s="26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</row>
    <row r="141" spans="2:65" ht="12.75" customHeight="1" x14ac:dyDescent="0.2">
      <c r="G141" s="25"/>
      <c r="H141" s="26"/>
      <c r="I141" s="25"/>
      <c r="J141" s="25"/>
      <c r="K141" s="25"/>
      <c r="L141" s="25"/>
      <c r="M141" s="26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</row>
    <row r="142" spans="2:65" ht="12.75" customHeight="1" x14ac:dyDescent="0.2">
      <c r="G142" s="25"/>
      <c r="H142" s="26"/>
      <c r="I142" s="25"/>
      <c r="J142" s="25"/>
      <c r="L142" s="25"/>
      <c r="M142" s="26"/>
    </row>
    <row r="143" spans="2:65" ht="12.75" customHeight="1" x14ac:dyDescent="0.2">
      <c r="G143" s="25"/>
      <c r="H143" s="26"/>
      <c r="I143" s="25"/>
      <c r="J143" s="25"/>
    </row>
    <row r="144" spans="2:65" ht="12.75" customHeight="1" x14ac:dyDescent="0.2">
      <c r="G144" s="25"/>
      <c r="H144" s="26"/>
      <c r="I144" s="25"/>
      <c r="J144" s="25"/>
    </row>
    <row r="157" spans="2:5" ht="12.75" customHeight="1" x14ac:dyDescent="0.2">
      <c r="B157" s="25"/>
      <c r="C157" s="26"/>
      <c r="D157" s="25"/>
      <c r="E157" s="25"/>
    </row>
    <row r="161" spans="2:65" ht="12.75" customHeight="1" x14ac:dyDescent="0.2">
      <c r="F161" s="25"/>
    </row>
    <row r="162" spans="2:65" ht="12.75" customHeight="1" x14ac:dyDescent="0.2">
      <c r="K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</row>
    <row r="163" spans="2:65" ht="12.75" customHeight="1" x14ac:dyDescent="0.2">
      <c r="L163" s="25"/>
      <c r="M163" s="26"/>
    </row>
    <row r="165" spans="2:65" ht="12.75" customHeight="1" x14ac:dyDescent="0.2">
      <c r="B165" s="25"/>
      <c r="C165" s="26"/>
      <c r="D165" s="25"/>
      <c r="E165" s="25"/>
      <c r="G165" s="25"/>
      <c r="H165" s="26"/>
      <c r="I165" s="25"/>
      <c r="J165" s="25"/>
    </row>
    <row r="169" spans="2:65" ht="12.75" customHeight="1" x14ac:dyDescent="0.2">
      <c r="F169" s="25"/>
    </row>
    <row r="170" spans="2:65" ht="12.75" customHeight="1" x14ac:dyDescent="0.2">
      <c r="K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</row>
    <row r="171" spans="2:65" ht="12.75" customHeight="1" x14ac:dyDescent="0.2">
      <c r="L171" s="25"/>
      <c r="M171" s="26"/>
    </row>
    <row r="173" spans="2:65" ht="12.75" customHeight="1" x14ac:dyDescent="0.2">
      <c r="G173" s="25"/>
      <c r="H173" s="26"/>
      <c r="I173" s="25"/>
      <c r="J173" s="25"/>
    </row>
    <row r="174" spans="2:65" ht="12.75" customHeight="1" x14ac:dyDescent="0.2">
      <c r="B174" s="25"/>
      <c r="C174" s="26"/>
      <c r="D174" s="25"/>
      <c r="E174" s="25"/>
    </row>
    <row r="175" spans="2:65" ht="12.75" customHeight="1" x14ac:dyDescent="0.2">
      <c r="B175" s="25"/>
      <c r="C175" s="26"/>
      <c r="D175" s="25"/>
      <c r="E175" s="25"/>
    </row>
    <row r="176" spans="2:65" ht="12.75" customHeight="1" x14ac:dyDescent="0.2">
      <c r="B176" s="25"/>
      <c r="C176" s="26"/>
      <c r="D176" s="25"/>
      <c r="E176" s="25"/>
    </row>
    <row r="178" spans="2:65" ht="12.75" customHeight="1" x14ac:dyDescent="0.2">
      <c r="F178" s="25"/>
    </row>
    <row r="179" spans="2:65" ht="12.75" customHeight="1" x14ac:dyDescent="0.2">
      <c r="F179" s="25"/>
      <c r="K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</row>
    <row r="180" spans="2:65" ht="12.75" customHeight="1" x14ac:dyDescent="0.2">
      <c r="B180" s="25"/>
      <c r="C180" s="26"/>
      <c r="D180" s="25"/>
      <c r="E180" s="25"/>
      <c r="F180" s="25"/>
      <c r="K180" s="25"/>
      <c r="L180" s="25"/>
      <c r="M180" s="26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</row>
    <row r="181" spans="2:65" ht="12.75" customHeight="1" x14ac:dyDescent="0.2">
      <c r="K181" s="25"/>
      <c r="L181" s="25"/>
      <c r="M181" s="26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</row>
    <row r="182" spans="2:65" ht="12.75" customHeight="1" x14ac:dyDescent="0.2">
      <c r="G182" s="25"/>
      <c r="H182" s="26"/>
      <c r="I182" s="25"/>
      <c r="J182" s="25"/>
      <c r="L182" s="25"/>
      <c r="M182" s="26"/>
    </row>
    <row r="183" spans="2:65" ht="12.75" customHeight="1" x14ac:dyDescent="0.2">
      <c r="G183" s="25"/>
      <c r="H183" s="26"/>
      <c r="I183" s="25"/>
      <c r="J183" s="25"/>
    </row>
    <row r="184" spans="2:65" ht="12.75" customHeight="1" x14ac:dyDescent="0.2">
      <c r="B184" s="25"/>
      <c r="C184" s="26"/>
      <c r="D184" s="25"/>
      <c r="E184" s="25"/>
      <c r="F184" s="25"/>
      <c r="G184" s="25"/>
      <c r="H184" s="26"/>
      <c r="I184" s="25"/>
      <c r="J184" s="25"/>
    </row>
    <row r="185" spans="2:65" ht="12.75" customHeight="1" x14ac:dyDescent="0.2">
      <c r="K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</row>
    <row r="186" spans="2:65" ht="12.75" customHeight="1" x14ac:dyDescent="0.2">
      <c r="B186" s="25"/>
      <c r="C186" s="26"/>
      <c r="D186" s="25"/>
      <c r="E186" s="25"/>
      <c r="L186" s="25"/>
      <c r="M186" s="26"/>
    </row>
    <row r="188" spans="2:65" ht="12.75" customHeight="1" x14ac:dyDescent="0.2">
      <c r="F188" s="25"/>
      <c r="G188" s="25"/>
      <c r="H188" s="26"/>
      <c r="I188" s="25"/>
      <c r="J188" s="25"/>
    </row>
    <row r="189" spans="2:65" ht="12.75" customHeight="1" x14ac:dyDescent="0.2">
      <c r="K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</row>
    <row r="190" spans="2:65" ht="12.75" customHeight="1" x14ac:dyDescent="0.2">
      <c r="F190" s="25"/>
      <c r="L190" s="25"/>
      <c r="M190" s="26"/>
    </row>
    <row r="191" spans="2:65" ht="12.75" customHeight="1" x14ac:dyDescent="0.2">
      <c r="B191" s="27"/>
      <c r="C191" s="28"/>
      <c r="D191" s="27"/>
      <c r="E191" s="27"/>
      <c r="K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</row>
    <row r="192" spans="2:65" ht="12.75" customHeight="1" x14ac:dyDescent="0.2">
      <c r="B192" s="27"/>
      <c r="C192" s="28"/>
      <c r="D192" s="27"/>
      <c r="E192" s="27"/>
      <c r="G192" s="25"/>
      <c r="H192" s="26"/>
      <c r="I192" s="25"/>
      <c r="J192" s="25"/>
      <c r="L192" s="25"/>
      <c r="M192" s="26"/>
    </row>
    <row r="193" spans="2:65" ht="12.75" customHeight="1" x14ac:dyDescent="0.2">
      <c r="B193" s="27"/>
      <c r="C193" s="28"/>
      <c r="D193" s="27"/>
      <c r="E193" s="27"/>
    </row>
    <row r="194" spans="2:65" ht="12.75" customHeight="1" x14ac:dyDescent="0.2">
      <c r="G194" s="25"/>
      <c r="H194" s="26"/>
      <c r="I194" s="25"/>
      <c r="J194" s="25"/>
    </row>
    <row r="195" spans="2:65" ht="12.75" customHeight="1" x14ac:dyDescent="0.2">
      <c r="F195" s="27"/>
    </row>
    <row r="196" spans="2:65" ht="12.75" customHeight="1" x14ac:dyDescent="0.2">
      <c r="F196" s="27"/>
      <c r="K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</row>
    <row r="197" spans="2:65" ht="12.75" customHeight="1" x14ac:dyDescent="0.2">
      <c r="F197" s="27"/>
      <c r="K197" s="27"/>
      <c r="L197" s="27"/>
      <c r="M197" s="28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</row>
    <row r="198" spans="2:65" ht="18" customHeight="1" x14ac:dyDescent="0.2">
      <c r="B198" s="29"/>
      <c r="C198" s="29"/>
      <c r="D198" s="30"/>
      <c r="E198" s="31"/>
      <c r="K198" s="27"/>
      <c r="L198" s="27"/>
      <c r="M198" s="28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</row>
    <row r="199" spans="2:65" ht="15" customHeight="1" x14ac:dyDescent="0.2">
      <c r="B199" s="32"/>
      <c r="C199" s="33"/>
      <c r="G199" s="27"/>
      <c r="H199" s="28"/>
      <c r="I199" s="27"/>
      <c r="J199" s="27"/>
      <c r="L199" s="27"/>
      <c r="M199" s="28"/>
    </row>
    <row r="200" spans="2:65" ht="12.75" customHeight="1" x14ac:dyDescent="0.2">
      <c r="G200" s="27"/>
      <c r="H200" s="28"/>
      <c r="I200" s="27"/>
      <c r="J200" s="27"/>
    </row>
    <row r="201" spans="2:65" ht="12.75" customHeight="1" x14ac:dyDescent="0.2">
      <c r="G201" s="27"/>
      <c r="H201" s="28"/>
      <c r="I201" s="27"/>
      <c r="J201" s="27"/>
    </row>
  </sheetData>
  <mergeCells count="3">
    <mergeCell ref="B6:E6"/>
    <mergeCell ref="B7:E7"/>
    <mergeCell ref="B8:E8"/>
  </mergeCells>
  <pageMargins left="0.32007874015748028" right="0.20984251968503939" top="0.452755905511811" bottom="0.2" header="0.15748031496062992" footer="0.2"/>
  <pageSetup paperSize="9" scale="46" fitToHeight="0" pageOrder="overThenDown" orientation="portrait" r:id="rId1"/>
  <headerFooter alignWithMargins="0">
    <oddFooter>&amp;R&amp;10&amp;P / &amp;N</oddFooter>
  </headerFooter>
  <rowBreaks count="1" manualBreakCount="1">
    <brk id="95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BM142"/>
  <sheetViews>
    <sheetView showGridLines="0" topLeftCell="A11" zoomScale="55" zoomScaleNormal="55" workbookViewId="0">
      <selection activeCell="E9" sqref="E9"/>
    </sheetView>
  </sheetViews>
  <sheetFormatPr baseColWidth="10" defaultColWidth="11" defaultRowHeight="14.25" customHeight="1" x14ac:dyDescent="0.2"/>
  <cols>
    <col min="1" max="1" width="10.75" customWidth="1"/>
    <col min="2" max="2" width="99.25" style="27" customWidth="1"/>
    <col min="3" max="3" width="14.625" style="28" customWidth="1"/>
    <col min="4" max="4" width="35.375" style="27" customWidth="1"/>
    <col min="5" max="5" width="28.375" style="27" customWidth="1"/>
    <col min="6" max="6" width="10.5" style="27" customWidth="1"/>
    <col min="7" max="7" width="7.125" style="27" customWidth="1"/>
    <col min="8" max="8" width="8.25" style="27" customWidth="1"/>
    <col min="9" max="65" width="10.5" style="27" customWidth="1"/>
  </cols>
  <sheetData>
    <row r="1" spans="1:65" ht="43.5" customHeight="1" x14ac:dyDescent="0.2">
      <c r="B1" s="34"/>
      <c r="C1" s="35"/>
      <c r="D1" s="2"/>
      <c r="E1" s="3"/>
    </row>
    <row r="2" spans="1:65" ht="43.5" customHeight="1" x14ac:dyDescent="0.2">
      <c r="B2" s="58" t="s">
        <v>0</v>
      </c>
      <c r="C2" s="55"/>
      <c r="D2" s="54"/>
      <c r="E2" s="54"/>
    </row>
    <row r="3" spans="1:65" ht="43.5" customHeight="1" x14ac:dyDescent="0.2">
      <c r="B3" s="34"/>
      <c r="C3" s="35"/>
      <c r="D3" s="2"/>
      <c r="E3" s="3"/>
    </row>
    <row r="4" spans="1:65" ht="43.5" customHeight="1" x14ac:dyDescent="0.2">
      <c r="B4" s="106" t="s">
        <v>53</v>
      </c>
      <c r="C4" s="55"/>
      <c r="D4" s="54"/>
      <c r="E4" s="54"/>
    </row>
    <row r="5" spans="1:65" ht="43.5" customHeight="1" x14ac:dyDescent="0.2">
      <c r="B5" s="36"/>
      <c r="C5" s="36"/>
      <c r="D5" s="36"/>
      <c r="E5" s="36"/>
    </row>
    <row r="6" spans="1:65" ht="41.25" customHeight="1" x14ac:dyDescent="0.2">
      <c r="B6" s="134" t="s">
        <v>54</v>
      </c>
      <c r="C6" s="134"/>
      <c r="D6" s="134"/>
      <c r="E6" s="134"/>
    </row>
    <row r="7" spans="1:65" ht="33" customHeight="1" x14ac:dyDescent="0.2">
      <c r="B7" s="135" t="s">
        <v>3</v>
      </c>
      <c r="C7" s="135"/>
      <c r="D7" s="135"/>
      <c r="E7" s="135"/>
    </row>
    <row r="8" spans="1:65" ht="53.25" customHeight="1" x14ac:dyDescent="0.2">
      <c r="B8" s="133" t="s">
        <v>55</v>
      </c>
      <c r="C8" s="133"/>
      <c r="D8" s="133"/>
      <c r="E8" s="133"/>
    </row>
    <row r="9" spans="1:65" s="116" customFormat="1" ht="47.25" customHeight="1" x14ac:dyDescent="0.25">
      <c r="A9" s="117" t="s">
        <v>5</v>
      </c>
      <c r="B9" s="115"/>
      <c r="C9" s="112" t="s">
        <v>6</v>
      </c>
      <c r="D9" s="113" t="s">
        <v>7</v>
      </c>
      <c r="E9" s="112" t="s">
        <v>8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</row>
    <row r="10" spans="1:65" ht="23.25" x14ac:dyDescent="0.2">
      <c r="A10" s="81">
        <v>3111</v>
      </c>
      <c r="B10" s="88" t="s">
        <v>56</v>
      </c>
      <c r="C10" s="67" t="s">
        <v>9</v>
      </c>
      <c r="D10" s="68" t="s">
        <v>10</v>
      </c>
      <c r="E10" s="37"/>
      <c r="G10" s="38"/>
      <c r="H10" s="38"/>
    </row>
    <row r="11" spans="1:65" ht="23.25" x14ac:dyDescent="0.2">
      <c r="A11" s="81">
        <f>+IF(AND(B11="",A10=""),A9+1,A10+1)</f>
        <v>3112</v>
      </c>
      <c r="B11" s="82" t="s">
        <v>56</v>
      </c>
      <c r="C11" s="69" t="s">
        <v>9</v>
      </c>
      <c r="D11" s="70" t="s">
        <v>11</v>
      </c>
      <c r="E11" s="39"/>
      <c r="G11" s="38"/>
      <c r="H11" s="38"/>
    </row>
    <row r="12" spans="1:65" ht="23.25" x14ac:dyDescent="0.2">
      <c r="A12" s="81">
        <f t="shared" ref="A12" si="0">+IF(AND(B12="",A11=""),A10+1,A11+1)</f>
        <v>3113</v>
      </c>
      <c r="B12" s="82" t="s">
        <v>56</v>
      </c>
      <c r="C12" s="69" t="s">
        <v>9</v>
      </c>
      <c r="D12" s="70" t="s">
        <v>12</v>
      </c>
      <c r="E12" s="39"/>
      <c r="G12" s="38"/>
      <c r="H12" s="38"/>
    </row>
    <row r="13" spans="1:65" ht="23.25" x14ac:dyDescent="0.2">
      <c r="A13" s="87"/>
      <c r="B13" s="65"/>
      <c r="C13" s="65"/>
      <c r="D13" s="65"/>
      <c r="E13" s="12"/>
      <c r="G13" s="38"/>
      <c r="H13" s="38"/>
    </row>
    <row r="14" spans="1:65" ht="23.25" x14ac:dyDescent="0.2">
      <c r="A14" s="81">
        <f>+IF(AND(B14&lt;&gt;"",A13=""),A12+1,A13+1)</f>
        <v>3114</v>
      </c>
      <c r="B14" s="88" t="s">
        <v>57</v>
      </c>
      <c r="C14" s="67" t="s">
        <v>9</v>
      </c>
      <c r="D14" s="68" t="s">
        <v>10</v>
      </c>
      <c r="E14" s="37"/>
      <c r="G14" s="40"/>
      <c r="H14" s="41"/>
    </row>
    <row r="15" spans="1:65" ht="23.25" x14ac:dyDescent="0.2">
      <c r="A15" s="81">
        <f t="shared" ref="A15:A78" si="1">+IF(AND(B15&lt;&gt;"",A14=""),A13+1,A14+1)</f>
        <v>3115</v>
      </c>
      <c r="B15" s="82" t="s">
        <v>57</v>
      </c>
      <c r="C15" s="69" t="s">
        <v>9</v>
      </c>
      <c r="D15" s="70" t="s">
        <v>11</v>
      </c>
      <c r="E15" s="39"/>
      <c r="G15" s="40"/>
      <c r="H15" s="41"/>
    </row>
    <row r="16" spans="1:65" ht="23.25" x14ac:dyDescent="0.2">
      <c r="A16" s="81">
        <f t="shared" si="1"/>
        <v>3116</v>
      </c>
      <c r="B16" s="82" t="s">
        <v>57</v>
      </c>
      <c r="C16" s="69" t="s">
        <v>9</v>
      </c>
      <c r="D16" s="70" t="s">
        <v>12</v>
      </c>
      <c r="E16" s="39"/>
      <c r="G16" s="40"/>
      <c r="H16" s="41"/>
    </row>
    <row r="17" spans="1:8" ht="23.25" x14ac:dyDescent="0.2">
      <c r="A17" s="87"/>
      <c r="B17" s="65"/>
      <c r="C17" s="65"/>
      <c r="D17" s="65"/>
      <c r="E17" s="12"/>
      <c r="G17" s="38"/>
      <c r="H17" s="38"/>
    </row>
    <row r="18" spans="1:8" ht="23.25" x14ac:dyDescent="0.2">
      <c r="A18" s="81">
        <f t="shared" si="1"/>
        <v>3117</v>
      </c>
      <c r="B18" s="89" t="s">
        <v>58</v>
      </c>
      <c r="C18" s="67" t="s">
        <v>9</v>
      </c>
      <c r="D18" s="68" t="s">
        <v>10</v>
      </c>
      <c r="E18" s="37"/>
      <c r="G18" s="40"/>
      <c r="H18" s="41"/>
    </row>
    <row r="19" spans="1:8" ht="23.25" x14ac:dyDescent="0.2">
      <c r="A19" s="81">
        <f t="shared" si="1"/>
        <v>3118</v>
      </c>
      <c r="B19" s="89" t="s">
        <v>58</v>
      </c>
      <c r="C19" s="69" t="s">
        <v>9</v>
      </c>
      <c r="D19" s="70" t="s">
        <v>11</v>
      </c>
      <c r="E19" s="39"/>
      <c r="G19" s="40"/>
      <c r="H19" s="41"/>
    </row>
    <row r="20" spans="1:8" ht="23.25" x14ac:dyDescent="0.2">
      <c r="A20" s="81">
        <f t="shared" si="1"/>
        <v>3119</v>
      </c>
      <c r="B20" s="89" t="s">
        <v>58</v>
      </c>
      <c r="C20" s="69" t="s">
        <v>9</v>
      </c>
      <c r="D20" s="70" t="s">
        <v>12</v>
      </c>
      <c r="E20" s="39"/>
      <c r="G20" s="40"/>
      <c r="H20" s="41"/>
    </row>
    <row r="21" spans="1:8" ht="23.25" x14ac:dyDescent="0.2">
      <c r="A21" s="87"/>
      <c r="B21" s="65"/>
      <c r="C21" s="65"/>
      <c r="D21" s="65"/>
      <c r="E21" s="12"/>
      <c r="G21" s="40"/>
      <c r="H21" s="41"/>
    </row>
    <row r="22" spans="1:8" ht="23.25" x14ac:dyDescent="0.2">
      <c r="A22" s="81">
        <f t="shared" si="1"/>
        <v>3120</v>
      </c>
      <c r="B22" s="88" t="s">
        <v>59</v>
      </c>
      <c r="C22" s="67" t="s">
        <v>9</v>
      </c>
      <c r="D22" s="68" t="s">
        <v>10</v>
      </c>
      <c r="E22" s="37"/>
      <c r="G22" s="40"/>
      <c r="H22" s="41"/>
    </row>
    <row r="23" spans="1:8" ht="23.25" x14ac:dyDescent="0.2">
      <c r="A23" s="81">
        <f t="shared" si="1"/>
        <v>3121</v>
      </c>
      <c r="B23" s="82" t="s">
        <v>59</v>
      </c>
      <c r="C23" s="69" t="s">
        <v>9</v>
      </c>
      <c r="D23" s="70" t="s">
        <v>11</v>
      </c>
      <c r="E23" s="39"/>
      <c r="G23" s="40"/>
      <c r="H23" s="41"/>
    </row>
    <row r="24" spans="1:8" ht="23.25" x14ac:dyDescent="0.2">
      <c r="A24" s="81">
        <f t="shared" si="1"/>
        <v>3122</v>
      </c>
      <c r="B24" s="82" t="s">
        <v>59</v>
      </c>
      <c r="C24" s="69" t="s">
        <v>9</v>
      </c>
      <c r="D24" s="70" t="s">
        <v>12</v>
      </c>
      <c r="E24" s="39"/>
      <c r="G24" s="40"/>
      <c r="H24" s="41"/>
    </row>
    <row r="25" spans="1:8" ht="23.25" x14ac:dyDescent="0.2">
      <c r="A25" s="87"/>
      <c r="B25" s="65"/>
      <c r="C25" s="65"/>
      <c r="D25" s="65"/>
      <c r="E25" s="12"/>
      <c r="G25" s="40"/>
      <c r="H25" s="41"/>
    </row>
    <row r="26" spans="1:8" ht="23.25" x14ac:dyDescent="0.2">
      <c r="A26" s="81">
        <f t="shared" si="1"/>
        <v>3123</v>
      </c>
      <c r="B26" s="88" t="s">
        <v>60</v>
      </c>
      <c r="C26" s="67" t="s">
        <v>9</v>
      </c>
      <c r="D26" s="71" t="s">
        <v>61</v>
      </c>
      <c r="E26" s="37"/>
      <c r="G26" s="40"/>
      <c r="H26" s="41"/>
    </row>
    <row r="27" spans="1:8" ht="23.25" x14ac:dyDescent="0.2">
      <c r="A27" s="81">
        <f t="shared" si="1"/>
        <v>3124</v>
      </c>
      <c r="B27" s="88" t="s">
        <v>60</v>
      </c>
      <c r="C27" s="69" t="s">
        <v>9</v>
      </c>
      <c r="D27" s="64" t="s">
        <v>62</v>
      </c>
      <c r="E27" s="39"/>
      <c r="G27" s="40"/>
      <c r="H27" s="41"/>
    </row>
    <row r="28" spans="1:8" ht="23.25" x14ac:dyDescent="0.2">
      <c r="A28" s="81">
        <f t="shared" si="1"/>
        <v>3125</v>
      </c>
      <c r="B28" s="88" t="s">
        <v>60</v>
      </c>
      <c r="C28" s="69" t="s">
        <v>9</v>
      </c>
      <c r="D28" s="64" t="s">
        <v>63</v>
      </c>
      <c r="E28" s="39"/>
      <c r="G28" s="40"/>
      <c r="H28" s="41"/>
    </row>
    <row r="29" spans="1:8" ht="23.25" x14ac:dyDescent="0.2">
      <c r="A29" s="87"/>
      <c r="B29" s="65"/>
      <c r="C29" s="65"/>
      <c r="D29" s="65"/>
      <c r="E29" s="12"/>
      <c r="G29" s="40"/>
      <c r="H29" s="41"/>
    </row>
    <row r="30" spans="1:8" ht="23.25" x14ac:dyDescent="0.2">
      <c r="A30" s="81">
        <f t="shared" si="1"/>
        <v>3126</v>
      </c>
      <c r="B30" s="88" t="s">
        <v>64</v>
      </c>
      <c r="C30" s="67" t="s">
        <v>9</v>
      </c>
      <c r="D30" s="71" t="s">
        <v>61</v>
      </c>
      <c r="E30" s="37"/>
      <c r="G30" s="40"/>
      <c r="H30" s="41"/>
    </row>
    <row r="31" spans="1:8" ht="23.25" x14ac:dyDescent="0.2">
      <c r="A31" s="81">
        <f t="shared" si="1"/>
        <v>3127</v>
      </c>
      <c r="B31" s="82" t="s">
        <v>64</v>
      </c>
      <c r="C31" s="69" t="s">
        <v>9</v>
      </c>
      <c r="D31" s="64" t="s">
        <v>62</v>
      </c>
      <c r="E31" s="39"/>
      <c r="G31" s="40"/>
      <c r="H31" s="41"/>
    </row>
    <row r="32" spans="1:8" ht="23.25" x14ac:dyDescent="0.2">
      <c r="A32" s="81">
        <f t="shared" si="1"/>
        <v>3128</v>
      </c>
      <c r="B32" s="82" t="s">
        <v>64</v>
      </c>
      <c r="C32" s="69" t="s">
        <v>9</v>
      </c>
      <c r="D32" s="64" t="s">
        <v>63</v>
      </c>
      <c r="E32" s="39"/>
      <c r="G32" s="40"/>
      <c r="H32" s="41"/>
    </row>
    <row r="33" spans="1:8" ht="23.25" x14ac:dyDescent="0.2">
      <c r="A33" s="87"/>
      <c r="B33" s="65"/>
      <c r="C33" s="65"/>
      <c r="D33" s="65"/>
      <c r="E33" s="12"/>
      <c r="G33" s="40"/>
      <c r="H33" s="41"/>
    </row>
    <row r="34" spans="1:8" ht="23.25" x14ac:dyDescent="0.2">
      <c r="A34" s="81">
        <f t="shared" si="1"/>
        <v>3129</v>
      </c>
      <c r="B34" s="88" t="s">
        <v>65</v>
      </c>
      <c r="C34" s="67" t="s">
        <v>9</v>
      </c>
      <c r="D34" s="68" t="s">
        <v>10</v>
      </c>
      <c r="E34" s="37"/>
      <c r="G34" s="40"/>
      <c r="H34" s="41"/>
    </row>
    <row r="35" spans="1:8" ht="23.25" x14ac:dyDescent="0.2">
      <c r="A35" s="81">
        <f t="shared" si="1"/>
        <v>3130</v>
      </c>
      <c r="B35" s="82" t="s">
        <v>65</v>
      </c>
      <c r="C35" s="69" t="s">
        <v>9</v>
      </c>
      <c r="D35" s="70" t="s">
        <v>11</v>
      </c>
      <c r="E35" s="39"/>
      <c r="G35" s="40"/>
      <c r="H35" s="41"/>
    </row>
    <row r="36" spans="1:8" ht="23.25" x14ac:dyDescent="0.2">
      <c r="A36" s="81">
        <f t="shared" si="1"/>
        <v>3131</v>
      </c>
      <c r="B36" s="82" t="s">
        <v>65</v>
      </c>
      <c r="C36" s="69" t="s">
        <v>9</v>
      </c>
      <c r="D36" s="70" t="s">
        <v>12</v>
      </c>
      <c r="E36" s="39"/>
      <c r="G36" s="40"/>
      <c r="H36" s="41"/>
    </row>
    <row r="37" spans="1:8" ht="23.25" x14ac:dyDescent="0.2">
      <c r="A37" s="87"/>
      <c r="B37" s="65"/>
      <c r="C37" s="65"/>
      <c r="D37" s="65"/>
      <c r="E37" s="12"/>
      <c r="G37" s="40"/>
      <c r="H37" s="41"/>
    </row>
    <row r="38" spans="1:8" ht="23.25" x14ac:dyDescent="0.2">
      <c r="A38" s="81">
        <f t="shared" si="1"/>
        <v>3132</v>
      </c>
      <c r="B38" s="88" t="s">
        <v>66</v>
      </c>
      <c r="C38" s="67" t="s">
        <v>9</v>
      </c>
      <c r="D38" s="71" t="s">
        <v>67</v>
      </c>
      <c r="E38" s="37"/>
      <c r="G38" s="40"/>
      <c r="H38" s="41"/>
    </row>
    <row r="39" spans="1:8" ht="23.25" x14ac:dyDescent="0.2">
      <c r="A39" s="81">
        <f t="shared" si="1"/>
        <v>3133</v>
      </c>
      <c r="B39" s="82" t="s">
        <v>66</v>
      </c>
      <c r="C39" s="69" t="s">
        <v>9</v>
      </c>
      <c r="D39" s="64" t="s">
        <v>68</v>
      </c>
      <c r="E39" s="39"/>
      <c r="G39" s="40"/>
      <c r="H39" s="41"/>
    </row>
    <row r="40" spans="1:8" ht="23.25" x14ac:dyDescent="0.2">
      <c r="A40" s="81">
        <f t="shared" si="1"/>
        <v>3134</v>
      </c>
      <c r="B40" s="82" t="s">
        <v>66</v>
      </c>
      <c r="C40" s="69" t="s">
        <v>9</v>
      </c>
      <c r="D40" s="64" t="s">
        <v>69</v>
      </c>
      <c r="E40" s="39"/>
      <c r="G40" s="40"/>
      <c r="H40" s="41"/>
    </row>
    <row r="41" spans="1:8" ht="23.25" x14ac:dyDescent="0.2">
      <c r="A41" s="87"/>
      <c r="B41" s="65"/>
      <c r="C41" s="65"/>
      <c r="D41" s="65"/>
      <c r="E41" s="12"/>
      <c r="G41" s="40"/>
      <c r="H41" s="41"/>
    </row>
    <row r="42" spans="1:8" ht="23.25" x14ac:dyDescent="0.2">
      <c r="A42" s="81">
        <f t="shared" si="1"/>
        <v>3135</v>
      </c>
      <c r="B42" s="88" t="s">
        <v>70</v>
      </c>
      <c r="C42" s="67" t="s">
        <v>38</v>
      </c>
      <c r="D42" s="62" t="s">
        <v>71</v>
      </c>
      <c r="E42" s="37"/>
      <c r="G42" s="40"/>
      <c r="H42" s="42"/>
    </row>
    <row r="43" spans="1:8" ht="23.25" x14ac:dyDescent="0.2">
      <c r="A43" s="81">
        <f t="shared" si="1"/>
        <v>3136</v>
      </c>
      <c r="B43" s="82" t="s">
        <v>70</v>
      </c>
      <c r="C43" s="69" t="s">
        <v>38</v>
      </c>
      <c r="D43" s="61" t="s">
        <v>72</v>
      </c>
      <c r="E43" s="39"/>
      <c r="G43" s="40"/>
      <c r="H43" s="42"/>
    </row>
    <row r="44" spans="1:8" ht="23.25" x14ac:dyDescent="0.2">
      <c r="A44" s="81">
        <f t="shared" si="1"/>
        <v>3137</v>
      </c>
      <c r="B44" s="82" t="s">
        <v>70</v>
      </c>
      <c r="C44" s="69" t="s">
        <v>38</v>
      </c>
      <c r="D44" s="61" t="s">
        <v>73</v>
      </c>
      <c r="E44" s="39"/>
      <c r="G44" s="40"/>
      <c r="H44" s="42"/>
    </row>
    <row r="45" spans="1:8" ht="23.25" x14ac:dyDescent="0.2">
      <c r="A45" s="87"/>
      <c r="B45" s="65"/>
      <c r="C45" s="65"/>
      <c r="D45" s="65"/>
      <c r="E45" s="12"/>
      <c r="G45" s="40"/>
      <c r="H45" s="41"/>
    </row>
    <row r="46" spans="1:8" ht="23.25" x14ac:dyDescent="0.2">
      <c r="A46" s="81">
        <f t="shared" si="1"/>
        <v>3138</v>
      </c>
      <c r="B46" s="88" t="s">
        <v>74</v>
      </c>
      <c r="C46" s="67" t="s">
        <v>38</v>
      </c>
      <c r="D46" s="62" t="s">
        <v>71</v>
      </c>
      <c r="E46" s="37"/>
      <c r="G46" s="40"/>
      <c r="H46" s="42"/>
    </row>
    <row r="47" spans="1:8" ht="23.25" x14ac:dyDescent="0.2">
      <c r="A47" s="81">
        <f t="shared" si="1"/>
        <v>3139</v>
      </c>
      <c r="B47" s="82" t="s">
        <v>74</v>
      </c>
      <c r="C47" s="69" t="s">
        <v>38</v>
      </c>
      <c r="D47" s="61" t="s">
        <v>72</v>
      </c>
      <c r="E47" s="39"/>
      <c r="G47" s="40"/>
      <c r="H47" s="42"/>
    </row>
    <row r="48" spans="1:8" ht="23.25" x14ac:dyDescent="0.2">
      <c r="A48" s="81">
        <f t="shared" si="1"/>
        <v>3140</v>
      </c>
      <c r="B48" s="82" t="s">
        <v>74</v>
      </c>
      <c r="C48" s="69" t="s">
        <v>38</v>
      </c>
      <c r="D48" s="61" t="s">
        <v>73</v>
      </c>
      <c r="E48" s="39"/>
      <c r="G48" s="40"/>
      <c r="H48" s="42"/>
    </row>
    <row r="49" spans="1:65" ht="23.25" x14ac:dyDescent="0.2">
      <c r="A49" s="87"/>
      <c r="B49" s="65"/>
      <c r="C49" s="65"/>
      <c r="D49" s="65"/>
      <c r="E49" s="12"/>
      <c r="G49" s="40"/>
      <c r="H49" s="41"/>
    </row>
    <row r="50" spans="1:65" ht="23.25" x14ac:dyDescent="0.2">
      <c r="A50" s="81">
        <f t="shared" si="1"/>
        <v>3141</v>
      </c>
      <c r="B50" s="88" t="s">
        <v>75</v>
      </c>
      <c r="C50" s="67" t="s">
        <v>38</v>
      </c>
      <c r="D50" s="62" t="s">
        <v>71</v>
      </c>
      <c r="E50" s="37"/>
      <c r="F50" s="43"/>
      <c r="G50" s="40"/>
      <c r="H50" s="42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</row>
    <row r="51" spans="1:65" ht="23.25" x14ac:dyDescent="0.2">
      <c r="A51" s="81">
        <f t="shared" si="1"/>
        <v>3142</v>
      </c>
      <c r="B51" s="82" t="s">
        <v>75</v>
      </c>
      <c r="C51" s="69" t="s">
        <v>38</v>
      </c>
      <c r="D51" s="61" t="s">
        <v>72</v>
      </c>
      <c r="E51" s="39"/>
      <c r="F51" s="43"/>
      <c r="G51" s="40"/>
      <c r="H51" s="42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</row>
    <row r="52" spans="1:65" ht="23.25" x14ac:dyDescent="0.2">
      <c r="A52" s="81">
        <f t="shared" si="1"/>
        <v>3143</v>
      </c>
      <c r="B52" s="82" t="s">
        <v>75</v>
      </c>
      <c r="C52" s="69" t="s">
        <v>38</v>
      </c>
      <c r="D52" s="61" t="s">
        <v>73</v>
      </c>
      <c r="E52" s="39"/>
      <c r="F52" s="43"/>
      <c r="G52" s="40"/>
      <c r="H52" s="42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</row>
    <row r="53" spans="1:65" ht="23.25" x14ac:dyDescent="0.2">
      <c r="A53" s="87"/>
      <c r="B53" s="65"/>
      <c r="C53" s="65"/>
      <c r="D53" s="65"/>
      <c r="E53" s="12"/>
      <c r="G53" s="40"/>
      <c r="H53" s="41"/>
    </row>
    <row r="54" spans="1:65" ht="23.25" x14ac:dyDescent="0.2">
      <c r="A54" s="81">
        <f t="shared" si="1"/>
        <v>3144</v>
      </c>
      <c r="B54" s="88" t="s">
        <v>76</v>
      </c>
      <c r="C54" s="67" t="s">
        <v>38</v>
      </c>
      <c r="D54" s="62" t="s">
        <v>71</v>
      </c>
      <c r="E54" s="37"/>
      <c r="F54" s="43"/>
      <c r="G54" s="40"/>
      <c r="H54" s="42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</row>
    <row r="55" spans="1:65" ht="23.25" x14ac:dyDescent="0.2">
      <c r="A55" s="81">
        <f t="shared" si="1"/>
        <v>3145</v>
      </c>
      <c r="B55" s="82" t="s">
        <v>76</v>
      </c>
      <c r="C55" s="69" t="s">
        <v>38</v>
      </c>
      <c r="D55" s="61" t="s">
        <v>72</v>
      </c>
      <c r="E55" s="39"/>
      <c r="F55" s="43"/>
      <c r="G55" s="40"/>
      <c r="H55" s="42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</row>
    <row r="56" spans="1:65" ht="23.25" x14ac:dyDescent="0.2">
      <c r="A56" s="81">
        <f t="shared" si="1"/>
        <v>3146</v>
      </c>
      <c r="B56" s="82" t="s">
        <v>76</v>
      </c>
      <c r="C56" s="69" t="s">
        <v>38</v>
      </c>
      <c r="D56" s="61" t="s">
        <v>73</v>
      </c>
      <c r="E56" s="39"/>
      <c r="F56" s="43"/>
      <c r="G56" s="40"/>
      <c r="H56" s="42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</row>
    <row r="57" spans="1:65" ht="23.25" x14ac:dyDescent="0.2">
      <c r="A57" s="87"/>
      <c r="B57" s="65"/>
      <c r="C57" s="65"/>
      <c r="D57" s="65"/>
      <c r="E57" s="12"/>
      <c r="F57" s="43"/>
      <c r="G57" s="40"/>
      <c r="H57" s="42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</row>
    <row r="58" spans="1:65" ht="23.25" x14ac:dyDescent="0.2">
      <c r="A58" s="81">
        <f t="shared" si="1"/>
        <v>3147</v>
      </c>
      <c r="B58" s="88" t="s">
        <v>77</v>
      </c>
      <c r="C58" s="67" t="s">
        <v>38</v>
      </c>
      <c r="D58" s="62" t="s">
        <v>71</v>
      </c>
      <c r="E58" s="37"/>
      <c r="F58" s="43"/>
      <c r="G58" s="40"/>
      <c r="H58" s="42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</row>
    <row r="59" spans="1:65" ht="23.25" x14ac:dyDescent="0.2">
      <c r="A59" s="81">
        <f t="shared" si="1"/>
        <v>3148</v>
      </c>
      <c r="B59" s="82" t="s">
        <v>77</v>
      </c>
      <c r="C59" s="69" t="s">
        <v>38</v>
      </c>
      <c r="D59" s="61" t="s">
        <v>72</v>
      </c>
      <c r="E59" s="39"/>
      <c r="G59" s="40"/>
      <c r="H59" s="42"/>
    </row>
    <row r="60" spans="1:65" ht="23.25" x14ac:dyDescent="0.2">
      <c r="A60" s="81">
        <f t="shared" si="1"/>
        <v>3149</v>
      </c>
      <c r="B60" s="82" t="s">
        <v>77</v>
      </c>
      <c r="C60" s="69" t="s">
        <v>38</v>
      </c>
      <c r="D60" s="61" t="s">
        <v>73</v>
      </c>
      <c r="E60" s="39"/>
      <c r="F60" s="43"/>
      <c r="G60" s="40"/>
      <c r="H60" s="42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</row>
    <row r="61" spans="1:65" ht="23.25" x14ac:dyDescent="0.2">
      <c r="A61" s="87"/>
      <c r="B61" s="65"/>
      <c r="C61" s="65"/>
      <c r="D61" s="65"/>
      <c r="E61" s="12"/>
      <c r="F61" s="43"/>
      <c r="G61" s="40"/>
      <c r="H61" s="42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</row>
    <row r="62" spans="1:65" ht="23.25" x14ac:dyDescent="0.2">
      <c r="A62" s="81">
        <f t="shared" si="1"/>
        <v>3150</v>
      </c>
      <c r="B62" s="88" t="s">
        <v>78</v>
      </c>
      <c r="C62" s="67" t="s">
        <v>79</v>
      </c>
      <c r="D62" s="62" t="s">
        <v>80</v>
      </c>
      <c r="E62" s="37"/>
      <c r="F62" s="43"/>
      <c r="G62" s="40"/>
      <c r="H62" s="42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</row>
    <row r="63" spans="1:65" ht="23.25" x14ac:dyDescent="0.2">
      <c r="A63" s="81">
        <f t="shared" si="1"/>
        <v>3151</v>
      </c>
      <c r="B63" s="82" t="s">
        <v>78</v>
      </c>
      <c r="C63" s="69" t="s">
        <v>79</v>
      </c>
      <c r="D63" s="61" t="s">
        <v>81</v>
      </c>
      <c r="E63" s="39"/>
      <c r="G63" s="40"/>
      <c r="H63" s="42"/>
    </row>
    <row r="64" spans="1:65" ht="23.25" x14ac:dyDescent="0.2">
      <c r="A64" s="81">
        <f t="shared" si="1"/>
        <v>3152</v>
      </c>
      <c r="B64" s="82" t="s">
        <v>78</v>
      </c>
      <c r="C64" s="69" t="s">
        <v>79</v>
      </c>
      <c r="D64" s="61" t="s">
        <v>82</v>
      </c>
      <c r="E64" s="39"/>
      <c r="F64" s="43"/>
      <c r="G64" s="40"/>
      <c r="H64" s="42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</row>
    <row r="65" spans="1:8" ht="23.25" x14ac:dyDescent="0.2">
      <c r="A65" s="87"/>
      <c r="B65" s="65"/>
      <c r="C65" s="65"/>
      <c r="D65" s="65"/>
      <c r="E65" s="12"/>
      <c r="G65" s="40"/>
      <c r="H65" s="41"/>
    </row>
    <row r="66" spans="1:8" ht="40.5" x14ac:dyDescent="0.2">
      <c r="A66" s="81">
        <f t="shared" si="1"/>
        <v>3153</v>
      </c>
      <c r="B66" s="88" t="s">
        <v>83</v>
      </c>
      <c r="C66" s="67" t="s">
        <v>9</v>
      </c>
      <c r="D66" s="68" t="s">
        <v>10</v>
      </c>
      <c r="E66" s="37"/>
    </row>
    <row r="67" spans="1:8" ht="40.5" x14ac:dyDescent="0.2">
      <c r="A67" s="81">
        <f t="shared" si="1"/>
        <v>3154</v>
      </c>
      <c r="B67" s="88" t="s">
        <v>83</v>
      </c>
      <c r="C67" s="69" t="s">
        <v>9</v>
      </c>
      <c r="D67" s="70" t="s">
        <v>11</v>
      </c>
      <c r="E67" s="39"/>
    </row>
    <row r="68" spans="1:8" ht="40.5" x14ac:dyDescent="0.2">
      <c r="A68" s="81">
        <f t="shared" si="1"/>
        <v>3155</v>
      </c>
      <c r="B68" s="88" t="s">
        <v>83</v>
      </c>
      <c r="C68" s="69" t="s">
        <v>9</v>
      </c>
      <c r="D68" s="70" t="s">
        <v>12</v>
      </c>
      <c r="E68" s="39"/>
    </row>
    <row r="69" spans="1:8" ht="23.25" x14ac:dyDescent="0.2">
      <c r="A69" s="87"/>
      <c r="B69" s="65"/>
      <c r="C69" s="65"/>
      <c r="D69" s="65"/>
      <c r="E69" s="12"/>
      <c r="G69" s="40"/>
      <c r="H69" s="41"/>
    </row>
    <row r="70" spans="1:8" ht="40.5" x14ac:dyDescent="0.2">
      <c r="A70" s="81">
        <f t="shared" si="1"/>
        <v>3156</v>
      </c>
      <c r="B70" s="88" t="s">
        <v>84</v>
      </c>
      <c r="C70" s="67" t="s">
        <v>9</v>
      </c>
      <c r="D70" s="68" t="s">
        <v>10</v>
      </c>
      <c r="E70" s="37"/>
    </row>
    <row r="71" spans="1:8" ht="40.5" x14ac:dyDescent="0.2">
      <c r="A71" s="81">
        <f t="shared" si="1"/>
        <v>3157</v>
      </c>
      <c r="B71" s="82" t="s">
        <v>84</v>
      </c>
      <c r="C71" s="69" t="s">
        <v>9</v>
      </c>
      <c r="D71" s="70" t="s">
        <v>11</v>
      </c>
      <c r="E71" s="39"/>
    </row>
    <row r="72" spans="1:8" ht="40.5" x14ac:dyDescent="0.2">
      <c r="A72" s="81">
        <f t="shared" si="1"/>
        <v>3158</v>
      </c>
      <c r="B72" s="82" t="s">
        <v>84</v>
      </c>
      <c r="C72" s="69" t="s">
        <v>9</v>
      </c>
      <c r="D72" s="70" t="s">
        <v>12</v>
      </c>
      <c r="E72" s="39"/>
    </row>
    <row r="73" spans="1:8" ht="23.25" x14ac:dyDescent="0.2">
      <c r="A73" s="87"/>
      <c r="B73" s="65"/>
      <c r="C73" s="65"/>
      <c r="D73" s="65"/>
      <c r="E73" s="12"/>
    </row>
    <row r="74" spans="1:8" ht="40.5" x14ac:dyDescent="0.2">
      <c r="A74" s="81">
        <f t="shared" si="1"/>
        <v>3159</v>
      </c>
      <c r="B74" s="88" t="s">
        <v>85</v>
      </c>
      <c r="C74" s="67" t="s">
        <v>9</v>
      </c>
      <c r="D74" s="68" t="s">
        <v>10</v>
      </c>
      <c r="E74" s="37"/>
    </row>
    <row r="75" spans="1:8" ht="40.5" x14ac:dyDescent="0.2">
      <c r="A75" s="81">
        <f t="shared" si="1"/>
        <v>3160</v>
      </c>
      <c r="B75" s="82" t="s">
        <v>85</v>
      </c>
      <c r="C75" s="69" t="s">
        <v>9</v>
      </c>
      <c r="D75" s="70" t="s">
        <v>11</v>
      </c>
      <c r="E75" s="39"/>
    </row>
    <row r="76" spans="1:8" ht="40.5" x14ac:dyDescent="0.2">
      <c r="A76" s="81">
        <f t="shared" si="1"/>
        <v>3161</v>
      </c>
      <c r="B76" s="82" t="s">
        <v>85</v>
      </c>
      <c r="C76" s="69" t="s">
        <v>9</v>
      </c>
      <c r="D76" s="70" t="s">
        <v>12</v>
      </c>
      <c r="E76" s="39"/>
    </row>
    <row r="77" spans="1:8" ht="23.25" x14ac:dyDescent="0.2">
      <c r="A77" s="87"/>
      <c r="B77" s="65"/>
      <c r="C77" s="65"/>
      <c r="D77" s="65"/>
      <c r="E77" s="12"/>
      <c r="G77" s="40"/>
      <c r="H77" s="41"/>
    </row>
    <row r="78" spans="1:8" ht="40.5" x14ac:dyDescent="0.2">
      <c r="A78" s="81">
        <f t="shared" si="1"/>
        <v>3162</v>
      </c>
      <c r="B78" s="88" t="s">
        <v>86</v>
      </c>
      <c r="C78" s="67" t="s">
        <v>9</v>
      </c>
      <c r="D78" s="68" t="s">
        <v>10</v>
      </c>
      <c r="E78" s="37"/>
    </row>
    <row r="79" spans="1:8" ht="40.5" x14ac:dyDescent="0.2">
      <c r="A79" s="81">
        <f t="shared" ref="A79:A88" si="2">+IF(AND(B79&lt;&gt;"",A78=""),A77+1,A78+1)</f>
        <v>3163</v>
      </c>
      <c r="B79" s="88" t="s">
        <v>86</v>
      </c>
      <c r="C79" s="69" t="s">
        <v>9</v>
      </c>
      <c r="D79" s="70" t="s">
        <v>11</v>
      </c>
      <c r="E79" s="39"/>
    </row>
    <row r="80" spans="1:8" ht="40.5" x14ac:dyDescent="0.2">
      <c r="A80" s="81">
        <f t="shared" si="2"/>
        <v>3164</v>
      </c>
      <c r="B80" s="88" t="s">
        <v>86</v>
      </c>
      <c r="C80" s="69" t="s">
        <v>9</v>
      </c>
      <c r="D80" s="70" t="s">
        <v>12</v>
      </c>
      <c r="E80" s="39"/>
    </row>
    <row r="81" spans="1:8" ht="23.25" x14ac:dyDescent="0.2">
      <c r="A81" s="87"/>
      <c r="B81" s="65"/>
      <c r="C81" s="65"/>
      <c r="D81" s="65"/>
      <c r="E81" s="12"/>
    </row>
    <row r="82" spans="1:8" ht="49.5" customHeight="1" x14ac:dyDescent="0.2">
      <c r="A82" s="81">
        <f t="shared" si="2"/>
        <v>3165</v>
      </c>
      <c r="B82" s="88" t="s">
        <v>87</v>
      </c>
      <c r="C82" s="67" t="s">
        <v>9</v>
      </c>
      <c r="D82" s="68" t="s">
        <v>10</v>
      </c>
      <c r="E82" s="37"/>
    </row>
    <row r="83" spans="1:8" ht="49.5" customHeight="1" x14ac:dyDescent="0.2">
      <c r="A83" s="81">
        <f t="shared" si="2"/>
        <v>3166</v>
      </c>
      <c r="B83" s="82" t="s">
        <v>87</v>
      </c>
      <c r="C83" s="69" t="s">
        <v>9</v>
      </c>
      <c r="D83" s="70" t="s">
        <v>11</v>
      </c>
      <c r="E83" s="39"/>
    </row>
    <row r="84" spans="1:8" ht="49.5" customHeight="1" x14ac:dyDescent="0.2">
      <c r="A84" s="81">
        <f t="shared" si="2"/>
        <v>3167</v>
      </c>
      <c r="B84" s="82" t="s">
        <v>87</v>
      </c>
      <c r="C84" s="69" t="s">
        <v>9</v>
      </c>
      <c r="D84" s="70" t="s">
        <v>12</v>
      </c>
      <c r="E84" s="39"/>
    </row>
    <row r="85" spans="1:8" ht="23.25" x14ac:dyDescent="0.2">
      <c r="A85" s="87"/>
      <c r="B85" s="65"/>
      <c r="C85" s="65"/>
      <c r="D85" s="65"/>
      <c r="E85" s="12"/>
    </row>
    <row r="86" spans="1:8" ht="42" customHeight="1" x14ac:dyDescent="0.2">
      <c r="A86" s="81">
        <f t="shared" si="2"/>
        <v>3168</v>
      </c>
      <c r="B86" s="85" t="s">
        <v>88</v>
      </c>
      <c r="C86" s="14" t="s">
        <v>9</v>
      </c>
      <c r="D86" s="68" t="s">
        <v>10</v>
      </c>
      <c r="E86" s="44"/>
    </row>
    <row r="87" spans="1:8" ht="42" customHeight="1" x14ac:dyDescent="0.2">
      <c r="A87" s="81">
        <f t="shared" si="2"/>
        <v>3169</v>
      </c>
      <c r="B87" s="82" t="s">
        <v>88</v>
      </c>
      <c r="C87" s="69" t="s">
        <v>9</v>
      </c>
      <c r="D87" s="70" t="s">
        <v>11</v>
      </c>
      <c r="E87" s="39"/>
    </row>
    <row r="88" spans="1:8" ht="42" customHeight="1" x14ac:dyDescent="0.2">
      <c r="A88" s="81">
        <f t="shared" si="2"/>
        <v>3170</v>
      </c>
      <c r="B88" s="85" t="s">
        <v>88</v>
      </c>
      <c r="C88" s="14" t="s">
        <v>9</v>
      </c>
      <c r="D88" s="70" t="s">
        <v>12</v>
      </c>
      <c r="E88" s="44"/>
    </row>
    <row r="89" spans="1:8" ht="41.25" customHeight="1" x14ac:dyDescent="0.2">
      <c r="B89"/>
      <c r="C89"/>
      <c r="D89" s="119" t="s">
        <v>122</v>
      </c>
      <c r="E89" s="120">
        <f>SUM(E10:E88)</f>
        <v>0</v>
      </c>
      <c r="G89" s="40"/>
      <c r="H89" s="41"/>
    </row>
    <row r="90" spans="1:8" ht="14.25" customHeight="1" x14ac:dyDescent="0.2">
      <c r="A90" s="18"/>
    </row>
    <row r="91" spans="1:8" ht="14.25" customHeight="1" x14ac:dyDescent="0.2">
      <c r="A91" s="18"/>
    </row>
    <row r="92" spans="1:8" ht="14.25" customHeight="1" x14ac:dyDescent="0.2">
      <c r="A92" s="18"/>
    </row>
    <row r="93" spans="1:8" ht="14.25" customHeight="1" x14ac:dyDescent="0.2">
      <c r="A93" s="18"/>
    </row>
    <row r="94" spans="1:8" ht="14.25" customHeight="1" x14ac:dyDescent="0.2">
      <c r="A94" s="18"/>
    </row>
    <row r="95" spans="1:8" ht="14.25" customHeight="1" x14ac:dyDescent="0.2">
      <c r="A95" s="18"/>
    </row>
    <row r="96" spans="1:8" ht="14.25" customHeight="1" x14ac:dyDescent="0.2">
      <c r="A96" s="18"/>
    </row>
    <row r="97" spans="1:1" ht="14.25" customHeight="1" x14ac:dyDescent="0.2">
      <c r="A97" s="18"/>
    </row>
    <row r="98" spans="1:1" ht="14.25" customHeight="1" x14ac:dyDescent="0.2">
      <c r="A98" s="18"/>
    </row>
    <row r="99" spans="1:1" ht="14.25" customHeight="1" x14ac:dyDescent="0.2">
      <c r="A99" s="18"/>
    </row>
    <row r="100" spans="1:1" ht="14.25" customHeight="1" x14ac:dyDescent="0.2">
      <c r="A100" s="18"/>
    </row>
    <row r="101" spans="1:1" ht="14.25" customHeight="1" x14ac:dyDescent="0.2">
      <c r="A101" s="18"/>
    </row>
    <row r="102" spans="1:1" ht="14.25" customHeight="1" x14ac:dyDescent="0.2">
      <c r="A102" s="18"/>
    </row>
    <row r="103" spans="1:1" ht="14.25" customHeight="1" x14ac:dyDescent="0.2">
      <c r="A103" s="18"/>
    </row>
    <row r="104" spans="1:1" ht="14.25" customHeight="1" x14ac:dyDescent="0.2">
      <c r="A104" s="18"/>
    </row>
    <row r="105" spans="1:1" ht="14.25" customHeight="1" x14ac:dyDescent="0.2">
      <c r="A105" s="18"/>
    </row>
    <row r="106" spans="1:1" ht="14.25" customHeight="1" x14ac:dyDescent="0.2">
      <c r="A106" s="18"/>
    </row>
    <row r="107" spans="1:1" ht="14.25" customHeight="1" x14ac:dyDescent="0.2">
      <c r="A107" s="18"/>
    </row>
    <row r="108" spans="1:1" ht="14.25" customHeight="1" x14ac:dyDescent="0.2">
      <c r="A108" s="18"/>
    </row>
    <row r="109" spans="1:1" ht="14.25" customHeight="1" x14ac:dyDescent="0.2">
      <c r="A109" s="18"/>
    </row>
    <row r="110" spans="1:1" ht="14.25" customHeight="1" x14ac:dyDescent="0.2">
      <c r="A110" s="18"/>
    </row>
    <row r="111" spans="1:1" ht="14.25" customHeight="1" x14ac:dyDescent="0.2">
      <c r="A111" s="18"/>
    </row>
    <row r="112" spans="1:1" ht="14.25" customHeight="1" x14ac:dyDescent="0.2">
      <c r="A112" s="18"/>
    </row>
    <row r="113" spans="1:1" ht="14.25" customHeight="1" x14ac:dyDescent="0.2">
      <c r="A113" s="18"/>
    </row>
    <row r="114" spans="1:1" ht="14.25" customHeight="1" x14ac:dyDescent="0.2">
      <c r="A114" s="18"/>
    </row>
    <row r="115" spans="1:1" ht="14.25" customHeight="1" x14ac:dyDescent="0.2">
      <c r="A115" s="18"/>
    </row>
    <row r="116" spans="1:1" ht="14.25" customHeight="1" x14ac:dyDescent="0.2">
      <c r="A116" s="18"/>
    </row>
    <row r="117" spans="1:1" ht="14.25" customHeight="1" x14ac:dyDescent="0.2">
      <c r="A117" s="18"/>
    </row>
    <row r="118" spans="1:1" ht="14.25" customHeight="1" x14ac:dyDescent="0.2">
      <c r="A118" s="18"/>
    </row>
    <row r="119" spans="1:1" ht="14.25" customHeight="1" x14ac:dyDescent="0.2">
      <c r="A119" s="18"/>
    </row>
    <row r="120" spans="1:1" ht="14.25" customHeight="1" x14ac:dyDescent="0.2">
      <c r="A120" s="18"/>
    </row>
    <row r="121" spans="1:1" ht="14.25" customHeight="1" x14ac:dyDescent="0.2">
      <c r="A121" s="18"/>
    </row>
    <row r="122" spans="1:1" ht="14.25" customHeight="1" x14ac:dyDescent="0.2">
      <c r="A122" s="18"/>
    </row>
    <row r="123" spans="1:1" ht="14.25" customHeight="1" x14ac:dyDescent="0.2">
      <c r="A123" s="18"/>
    </row>
    <row r="124" spans="1:1" ht="14.25" customHeight="1" x14ac:dyDescent="0.2">
      <c r="A124" s="18"/>
    </row>
    <row r="125" spans="1:1" ht="14.25" customHeight="1" x14ac:dyDescent="0.2">
      <c r="A125" s="18"/>
    </row>
    <row r="126" spans="1:1" ht="14.25" customHeight="1" x14ac:dyDescent="0.2">
      <c r="A126" s="18"/>
    </row>
    <row r="127" spans="1:1" ht="14.25" customHeight="1" x14ac:dyDescent="0.2">
      <c r="A127" s="18"/>
    </row>
    <row r="128" spans="1:1" ht="14.25" customHeight="1" x14ac:dyDescent="0.2">
      <c r="A128" s="18"/>
    </row>
    <row r="129" spans="1:1" ht="14.25" customHeight="1" x14ac:dyDescent="0.2">
      <c r="A129" s="18"/>
    </row>
    <row r="130" spans="1:1" ht="14.25" customHeight="1" x14ac:dyDescent="0.2">
      <c r="A130" s="18"/>
    </row>
    <row r="131" spans="1:1" ht="14.25" customHeight="1" x14ac:dyDescent="0.2">
      <c r="A131" s="18"/>
    </row>
    <row r="132" spans="1:1" ht="14.25" customHeight="1" x14ac:dyDescent="0.2">
      <c r="A132" s="18"/>
    </row>
    <row r="133" spans="1:1" ht="14.25" customHeight="1" x14ac:dyDescent="0.2">
      <c r="A133" s="18"/>
    </row>
    <row r="134" spans="1:1" ht="14.25" customHeight="1" x14ac:dyDescent="0.2">
      <c r="A134" s="18"/>
    </row>
    <row r="135" spans="1:1" ht="14.25" customHeight="1" x14ac:dyDescent="0.2">
      <c r="A135" s="18"/>
    </row>
    <row r="136" spans="1:1" ht="14.25" customHeight="1" x14ac:dyDescent="0.2">
      <c r="A136" s="18"/>
    </row>
    <row r="137" spans="1:1" ht="14.25" customHeight="1" x14ac:dyDescent="0.2">
      <c r="A137" s="18"/>
    </row>
    <row r="138" spans="1:1" ht="14.25" customHeight="1" x14ac:dyDescent="0.2">
      <c r="A138" s="18"/>
    </row>
    <row r="139" spans="1:1" ht="14.25" customHeight="1" x14ac:dyDescent="0.2">
      <c r="A139" s="18"/>
    </row>
    <row r="140" spans="1:1" ht="14.25" customHeight="1" x14ac:dyDescent="0.2">
      <c r="A140" s="18"/>
    </row>
    <row r="141" spans="1:1" ht="14.25" customHeight="1" x14ac:dyDescent="0.2">
      <c r="A141" s="18"/>
    </row>
    <row r="142" spans="1:1" ht="14.25" customHeight="1" x14ac:dyDescent="0.2">
      <c r="A142" s="18"/>
    </row>
  </sheetData>
  <mergeCells count="3">
    <mergeCell ref="B6:E6"/>
    <mergeCell ref="B7:E7"/>
    <mergeCell ref="B8:E8"/>
  </mergeCells>
  <printOptions horizontalCentered="1"/>
  <pageMargins left="0.24015748031496062" right="0.17007874015748028" top="0.54527559055118102" bottom="0.20984251968503939" header="0.25" footer="0.20984251968503939"/>
  <pageSetup paperSize="9" scale="49" fitToHeight="0" pageOrder="overThenDown" orientation="portrait" r:id="rId1"/>
  <headerFooter alignWithMargins="0">
    <oddFooter>&amp;R&amp;12&amp;P / &amp;N</oddFooter>
  </headerFooter>
  <rowBreaks count="1" manualBreakCount="1">
    <brk id="67" max="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MC37"/>
  <sheetViews>
    <sheetView showGridLines="0" zoomScale="55" zoomScaleNormal="55" workbookViewId="0">
      <selection activeCell="D26" sqref="D26:E26"/>
    </sheetView>
  </sheetViews>
  <sheetFormatPr baseColWidth="10" defaultColWidth="11" defaultRowHeight="12.75" customHeight="1" x14ac:dyDescent="0.2"/>
  <cols>
    <col min="1" max="1" width="22.125" customWidth="1"/>
    <col min="2" max="2" width="138.5" style="5" customWidth="1"/>
    <col min="3" max="3" width="34.375" style="8" customWidth="1"/>
    <col min="4" max="4" width="34.25" style="5" customWidth="1"/>
    <col min="5" max="6" width="37.25" style="5" customWidth="1"/>
    <col min="7" max="7" width="8.25" style="5" customWidth="1"/>
    <col min="8" max="65" width="10.5" style="5" customWidth="1"/>
    <col min="66" max="1017" width="10.5" customWidth="1"/>
  </cols>
  <sheetData>
    <row r="1" spans="1:1017" ht="42" customHeight="1" x14ac:dyDescent="0.2">
      <c r="B1" s="1"/>
      <c r="C1" s="1"/>
      <c r="D1" s="2"/>
      <c r="E1" s="3"/>
    </row>
    <row r="2" spans="1:1017" ht="42" customHeight="1" x14ac:dyDescent="0.2">
      <c r="B2" s="107" t="s">
        <v>0</v>
      </c>
      <c r="C2" s="53"/>
      <c r="D2" s="54"/>
      <c r="E2" s="54"/>
      <c r="F2" s="51"/>
    </row>
    <row r="3" spans="1:1017" ht="42" customHeight="1" x14ac:dyDescent="0.2">
      <c r="B3" s="1"/>
      <c r="C3" s="1"/>
      <c r="D3" s="2"/>
      <c r="E3" s="3"/>
    </row>
    <row r="4" spans="1:1017" ht="42" customHeight="1" x14ac:dyDescent="0.2">
      <c r="B4" s="106" t="s">
        <v>89</v>
      </c>
      <c r="C4" s="53"/>
      <c r="D4" s="54"/>
      <c r="E4" s="54"/>
      <c r="F4" s="51"/>
    </row>
    <row r="5" spans="1:1017" ht="42" customHeight="1" x14ac:dyDescent="0.2">
      <c r="B5" s="45"/>
      <c r="C5" s="45"/>
      <c r="D5" s="45"/>
      <c r="E5" s="45"/>
    </row>
    <row r="6" spans="1:1017" ht="42.75" customHeight="1" x14ac:dyDescent="0.2">
      <c r="B6" s="136" t="s">
        <v>90</v>
      </c>
      <c r="C6" s="136"/>
      <c r="D6" s="136"/>
      <c r="E6" s="136"/>
      <c r="F6" s="136"/>
    </row>
    <row r="7" spans="1:1017" ht="28.5" customHeight="1" x14ac:dyDescent="0.2">
      <c r="B7" s="131" t="s">
        <v>3</v>
      </c>
      <c r="C7" s="131"/>
      <c r="D7" s="131"/>
      <c r="E7" s="131"/>
      <c r="F7" s="131"/>
    </row>
    <row r="8" spans="1:1017" ht="39.75" customHeight="1" x14ac:dyDescent="0.2">
      <c r="B8" s="133" t="s">
        <v>55</v>
      </c>
      <c r="C8" s="133"/>
      <c r="D8" s="133"/>
      <c r="E8" s="133"/>
      <c r="F8" s="133"/>
    </row>
    <row r="9" spans="1:1017" ht="119.25" customHeight="1" x14ac:dyDescent="0.2">
      <c r="B9" s="57" t="s">
        <v>91</v>
      </c>
      <c r="C9" s="76" t="s">
        <v>6</v>
      </c>
      <c r="D9" s="76" t="s">
        <v>7</v>
      </c>
      <c r="E9" s="114" t="s">
        <v>92</v>
      </c>
      <c r="F9" s="114" t="s">
        <v>93</v>
      </c>
    </row>
    <row r="10" spans="1:1017" ht="23.25" customHeight="1" x14ac:dyDescent="0.2">
      <c r="A10" s="80" t="s">
        <v>5</v>
      </c>
      <c r="B10" s="47"/>
      <c r="C10" s="11"/>
      <c r="D10" s="11"/>
      <c r="E10" s="12"/>
      <c r="F10" s="12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</row>
    <row r="11" spans="1:1017" ht="40.5" x14ac:dyDescent="0.2">
      <c r="A11" s="81">
        <v>4111</v>
      </c>
      <c r="B11" s="90" t="s">
        <v>94</v>
      </c>
      <c r="C11" s="62" t="s">
        <v>95</v>
      </c>
      <c r="D11" s="63" t="s">
        <v>96</v>
      </c>
      <c r="E11" s="121"/>
      <c r="F11" s="122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</row>
    <row r="12" spans="1:1017" ht="40.5" x14ac:dyDescent="0.2">
      <c r="A12" s="81">
        <f>+IF(AND(B12&lt;&gt;"",A11=""),A10+1,A11+1)</f>
        <v>4112</v>
      </c>
      <c r="B12" s="90" t="s">
        <v>94</v>
      </c>
      <c r="C12" s="62" t="s">
        <v>95</v>
      </c>
      <c r="D12" s="64" t="s">
        <v>97</v>
      </c>
      <c r="E12" s="121"/>
      <c r="F12" s="122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3"/>
      <c r="YB12" s="43"/>
      <c r="YC12" s="43"/>
      <c r="YD12" s="43"/>
      <c r="YE12" s="43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3"/>
      <c r="ZX12" s="43"/>
      <c r="ZY12" s="43"/>
      <c r="ZZ12" s="43"/>
      <c r="AAA12" s="43"/>
      <c r="AAB12" s="43"/>
      <c r="AAC12" s="43"/>
      <c r="AAD12" s="43"/>
      <c r="AAE12" s="43"/>
      <c r="AAF12" s="43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3"/>
      <c r="ACI12" s="43"/>
      <c r="ACJ12" s="43"/>
      <c r="ACK12" s="43"/>
      <c r="ACL12" s="43"/>
      <c r="ACM12" s="43"/>
      <c r="ACN12" s="43"/>
      <c r="ACO12" s="43"/>
      <c r="ACP12" s="43"/>
      <c r="ACQ12" s="43"/>
      <c r="ACR12" s="43"/>
      <c r="ACS12" s="43"/>
      <c r="ACT12" s="43"/>
      <c r="ACU12" s="43"/>
      <c r="ACV12" s="43"/>
      <c r="ACW12" s="43"/>
      <c r="ACX12" s="43"/>
      <c r="ACY12" s="43"/>
      <c r="ACZ12" s="43"/>
      <c r="ADA12" s="43"/>
      <c r="ADB12" s="43"/>
      <c r="ADC12" s="43"/>
      <c r="ADD12" s="43"/>
      <c r="ADE12" s="43"/>
      <c r="ADF12" s="43"/>
      <c r="ADG12" s="43"/>
      <c r="ADH12" s="43"/>
      <c r="ADI12" s="43"/>
      <c r="ADJ12" s="43"/>
      <c r="ADK12" s="43"/>
      <c r="ADL12" s="43"/>
      <c r="ADM12" s="43"/>
      <c r="ADN12" s="43"/>
      <c r="ADO12" s="43"/>
      <c r="ADP12" s="43"/>
      <c r="ADQ12" s="43"/>
      <c r="ADR12" s="43"/>
      <c r="ADS12" s="43"/>
      <c r="ADT12" s="43"/>
      <c r="ADU12" s="43"/>
      <c r="ADV12" s="43"/>
      <c r="ADW12" s="43"/>
      <c r="ADX12" s="43"/>
      <c r="ADY12" s="43"/>
      <c r="ADZ12" s="43"/>
      <c r="AEA12" s="43"/>
      <c r="AEB12" s="43"/>
      <c r="AEC12" s="43"/>
      <c r="AED12" s="43"/>
      <c r="AEE12" s="43"/>
      <c r="AEF12" s="43"/>
      <c r="AEG12" s="43"/>
      <c r="AEH12" s="43"/>
      <c r="AEI12" s="43"/>
      <c r="AEJ12" s="43"/>
      <c r="AEK12" s="43"/>
      <c r="AEL12" s="43"/>
      <c r="AEM12" s="43"/>
      <c r="AEN12" s="43"/>
      <c r="AEO12" s="43"/>
      <c r="AEP12" s="43"/>
      <c r="AEQ12" s="43"/>
      <c r="AER12" s="43"/>
      <c r="AES12" s="43"/>
      <c r="AET12" s="43"/>
      <c r="AEU12" s="43"/>
      <c r="AEV12" s="43"/>
      <c r="AEW12" s="43"/>
      <c r="AEX12" s="43"/>
      <c r="AEY12" s="43"/>
      <c r="AEZ12" s="43"/>
      <c r="AFA12" s="43"/>
      <c r="AFB12" s="43"/>
      <c r="AFC12" s="43"/>
      <c r="AFD12" s="43"/>
      <c r="AFE12" s="43"/>
      <c r="AFF12" s="43"/>
      <c r="AFG12" s="43"/>
      <c r="AFH12" s="43"/>
      <c r="AFI12" s="43"/>
      <c r="AFJ12" s="43"/>
      <c r="AFK12" s="43"/>
      <c r="AFL12" s="43"/>
      <c r="AFM12" s="43"/>
      <c r="AFN12" s="43"/>
      <c r="AFO12" s="43"/>
      <c r="AFP12" s="43"/>
      <c r="AFQ12" s="43"/>
      <c r="AFR12" s="43"/>
      <c r="AFS12" s="43"/>
      <c r="AFT12" s="43"/>
      <c r="AFU12" s="43"/>
      <c r="AFV12" s="43"/>
      <c r="AFW12" s="43"/>
      <c r="AFX12" s="43"/>
      <c r="AFY12" s="43"/>
      <c r="AFZ12" s="43"/>
      <c r="AGA12" s="43"/>
      <c r="AGB12" s="43"/>
      <c r="AGC12" s="43"/>
      <c r="AGD12" s="43"/>
      <c r="AGE12" s="43"/>
      <c r="AGF12" s="43"/>
      <c r="AGG12" s="43"/>
      <c r="AGH12" s="43"/>
      <c r="AGI12" s="43"/>
      <c r="AGJ12" s="43"/>
      <c r="AGK12" s="43"/>
      <c r="AGL12" s="43"/>
      <c r="AGM12" s="43"/>
      <c r="AGN12" s="43"/>
      <c r="AGO12" s="43"/>
      <c r="AGP12" s="43"/>
      <c r="AGQ12" s="43"/>
      <c r="AGR12" s="43"/>
      <c r="AGS12" s="43"/>
      <c r="AGT12" s="43"/>
      <c r="AGU12" s="43"/>
      <c r="AGV12" s="43"/>
      <c r="AGW12" s="43"/>
      <c r="AGX12" s="43"/>
      <c r="AGY12" s="43"/>
      <c r="AGZ12" s="43"/>
      <c r="AHA12" s="43"/>
      <c r="AHB12" s="43"/>
      <c r="AHC12" s="43"/>
      <c r="AHD12" s="43"/>
      <c r="AHE12" s="43"/>
      <c r="AHF12" s="43"/>
      <c r="AHG12" s="43"/>
      <c r="AHH12" s="43"/>
      <c r="AHI12" s="43"/>
      <c r="AHJ12" s="43"/>
      <c r="AHK12" s="43"/>
      <c r="AHL12" s="43"/>
      <c r="AHM12" s="43"/>
      <c r="AHN12" s="43"/>
      <c r="AHO12" s="43"/>
      <c r="AHP12" s="43"/>
      <c r="AHQ12" s="43"/>
      <c r="AHR12" s="43"/>
      <c r="AHS12" s="43"/>
      <c r="AHT12" s="43"/>
      <c r="AHU12" s="43"/>
      <c r="AHV12" s="43"/>
      <c r="AHW12" s="43"/>
      <c r="AHX12" s="43"/>
      <c r="AHY12" s="43"/>
      <c r="AHZ12" s="43"/>
      <c r="AIA12" s="43"/>
      <c r="AIB12" s="43"/>
      <c r="AIC12" s="43"/>
      <c r="AID12" s="43"/>
      <c r="AIE12" s="43"/>
      <c r="AIF12" s="43"/>
      <c r="AIG12" s="43"/>
      <c r="AIH12" s="43"/>
      <c r="AII12" s="43"/>
      <c r="AIJ12" s="43"/>
      <c r="AIK12" s="43"/>
      <c r="AIL12" s="43"/>
      <c r="AIM12" s="43"/>
      <c r="AIN12" s="43"/>
      <c r="AIO12" s="43"/>
      <c r="AIP12" s="43"/>
      <c r="AIQ12" s="43"/>
      <c r="AIR12" s="43"/>
      <c r="AIS12" s="43"/>
      <c r="AIT12" s="43"/>
      <c r="AIU12" s="43"/>
      <c r="AIV12" s="43"/>
      <c r="AIW12" s="43"/>
      <c r="AIX12" s="43"/>
      <c r="AIY12" s="43"/>
      <c r="AIZ12" s="43"/>
      <c r="AJA12" s="43"/>
      <c r="AJB12" s="43"/>
      <c r="AJC12" s="43"/>
      <c r="AJD12" s="43"/>
      <c r="AJE12" s="43"/>
      <c r="AJF12" s="43"/>
      <c r="AJG12" s="43"/>
      <c r="AJH12" s="43"/>
      <c r="AJI12" s="43"/>
      <c r="AJJ12" s="43"/>
      <c r="AJK12" s="43"/>
      <c r="AJL12" s="43"/>
      <c r="AJM12" s="43"/>
      <c r="AJN12" s="43"/>
      <c r="AJO12" s="43"/>
      <c r="AJP12" s="43"/>
      <c r="AJQ12" s="43"/>
      <c r="AJR12" s="43"/>
      <c r="AJS12" s="43"/>
      <c r="AJT12" s="43"/>
      <c r="AJU12" s="43"/>
      <c r="AJV12" s="43"/>
      <c r="AJW12" s="43"/>
      <c r="AJX12" s="43"/>
      <c r="AJY12" s="43"/>
      <c r="AJZ12" s="43"/>
      <c r="AKA12" s="43"/>
      <c r="AKB12" s="43"/>
      <c r="AKC12" s="43"/>
      <c r="AKD12" s="43"/>
      <c r="AKE12" s="43"/>
      <c r="AKF12" s="43"/>
      <c r="AKG12" s="43"/>
      <c r="AKH12" s="43"/>
      <c r="AKI12" s="43"/>
      <c r="AKJ12" s="43"/>
      <c r="AKK12" s="43"/>
      <c r="AKL12" s="43"/>
      <c r="AKM12" s="43"/>
      <c r="AKN12" s="43"/>
      <c r="AKO12" s="43"/>
      <c r="AKP12" s="43"/>
      <c r="AKQ12" s="43"/>
      <c r="AKR12" s="43"/>
      <c r="AKS12" s="43"/>
      <c r="AKT12" s="43"/>
      <c r="AKU12" s="43"/>
      <c r="AKV12" s="43"/>
      <c r="AKW12" s="43"/>
      <c r="AKX12" s="43"/>
      <c r="AKY12" s="43"/>
      <c r="AKZ12" s="43"/>
      <c r="ALA12" s="43"/>
      <c r="ALB12" s="43"/>
      <c r="ALC12" s="43"/>
      <c r="ALD12" s="43"/>
      <c r="ALE12" s="43"/>
      <c r="ALF12" s="43"/>
      <c r="ALG12" s="43"/>
      <c r="ALH12" s="43"/>
      <c r="ALI12" s="43"/>
      <c r="ALJ12" s="43"/>
      <c r="ALK12" s="43"/>
      <c r="ALL12" s="43"/>
      <c r="ALM12" s="43"/>
      <c r="ALN12" s="43"/>
      <c r="ALO12" s="43"/>
      <c r="ALP12" s="43"/>
      <c r="ALQ12" s="43"/>
      <c r="ALR12" s="43"/>
      <c r="ALS12" s="43"/>
      <c r="ALT12" s="43"/>
      <c r="ALU12" s="43"/>
      <c r="ALV12" s="43"/>
      <c r="ALW12" s="43"/>
      <c r="ALX12" s="43"/>
      <c r="ALY12" s="43"/>
      <c r="ALZ12" s="43"/>
      <c r="AMA12" s="43"/>
      <c r="AMB12" s="43"/>
      <c r="AMC12" s="43"/>
    </row>
    <row r="13" spans="1:1017" ht="40.5" x14ac:dyDescent="0.2">
      <c r="A13" s="81">
        <f t="shared" ref="A13:A25" si="0">+IF(AND(B13&lt;&gt;"",A12=""),A11+1,A12+1)</f>
        <v>4113</v>
      </c>
      <c r="B13" s="90" t="s">
        <v>94</v>
      </c>
      <c r="C13" s="62" t="s">
        <v>95</v>
      </c>
      <c r="D13" s="64" t="s">
        <v>98</v>
      </c>
      <c r="E13" s="121"/>
      <c r="F13" s="122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  <c r="QI13" s="43"/>
      <c r="QJ13" s="43"/>
      <c r="QK13" s="43"/>
      <c r="QL13" s="43"/>
      <c r="QM13" s="43"/>
      <c r="QN13" s="43"/>
      <c r="QO13" s="43"/>
      <c r="QP13" s="43"/>
      <c r="QQ13" s="43"/>
      <c r="QR13" s="43"/>
      <c r="QS13" s="43"/>
      <c r="QT13" s="43"/>
      <c r="QU13" s="43"/>
      <c r="QV13" s="43"/>
      <c r="QW13" s="43"/>
      <c r="QX13" s="43"/>
      <c r="QY13" s="43"/>
      <c r="QZ13" s="43"/>
      <c r="RA13" s="43"/>
      <c r="RB13" s="43"/>
      <c r="RC13" s="43"/>
      <c r="RD13" s="43"/>
      <c r="RE13" s="43"/>
      <c r="RF13" s="43"/>
      <c r="RG13" s="43"/>
      <c r="RH13" s="43"/>
      <c r="RI13" s="43"/>
      <c r="RJ13" s="43"/>
      <c r="RK13" s="43"/>
      <c r="RL13" s="43"/>
      <c r="RM13" s="43"/>
      <c r="RN13" s="43"/>
      <c r="RO13" s="43"/>
      <c r="RP13" s="43"/>
      <c r="RQ13" s="43"/>
      <c r="RR13" s="43"/>
      <c r="RS13" s="43"/>
      <c r="RT13" s="43"/>
      <c r="RU13" s="43"/>
      <c r="RV13" s="43"/>
      <c r="RW13" s="43"/>
      <c r="RX13" s="43"/>
      <c r="RY13" s="43"/>
      <c r="RZ13" s="43"/>
      <c r="SA13" s="43"/>
      <c r="SB13" s="43"/>
      <c r="SC13" s="43"/>
      <c r="SD13" s="43"/>
      <c r="SE13" s="43"/>
      <c r="SF13" s="43"/>
      <c r="SG13" s="43"/>
      <c r="SH13" s="43"/>
      <c r="SI13" s="43"/>
      <c r="SJ13" s="43"/>
      <c r="SK13" s="43"/>
      <c r="SL13" s="43"/>
      <c r="SM13" s="43"/>
      <c r="SN13" s="43"/>
      <c r="SO13" s="43"/>
      <c r="SP13" s="43"/>
      <c r="SQ13" s="43"/>
      <c r="SR13" s="43"/>
      <c r="SS13" s="43"/>
      <c r="ST13" s="43"/>
      <c r="SU13" s="43"/>
      <c r="SV13" s="43"/>
      <c r="SW13" s="43"/>
      <c r="SX13" s="43"/>
      <c r="SY13" s="43"/>
      <c r="SZ13" s="43"/>
      <c r="TA13" s="43"/>
      <c r="TB13" s="43"/>
      <c r="TC13" s="43"/>
      <c r="TD13" s="43"/>
      <c r="TE13" s="43"/>
      <c r="TF13" s="43"/>
      <c r="TG13" s="43"/>
      <c r="TH13" s="43"/>
      <c r="TI13" s="43"/>
      <c r="TJ13" s="43"/>
      <c r="TK13" s="43"/>
      <c r="TL13" s="43"/>
      <c r="TM13" s="43"/>
      <c r="TN13" s="43"/>
      <c r="TO13" s="43"/>
      <c r="TP13" s="43"/>
      <c r="TQ13" s="43"/>
      <c r="TR13" s="43"/>
      <c r="TS13" s="43"/>
      <c r="TT13" s="43"/>
      <c r="TU13" s="43"/>
      <c r="TV13" s="43"/>
      <c r="TW13" s="43"/>
      <c r="TX13" s="43"/>
      <c r="TY13" s="43"/>
      <c r="TZ13" s="43"/>
      <c r="UA13" s="43"/>
      <c r="UB13" s="43"/>
      <c r="UC13" s="43"/>
      <c r="UD13" s="43"/>
      <c r="UE13" s="43"/>
      <c r="UF13" s="43"/>
      <c r="UG13" s="43"/>
      <c r="UH13" s="43"/>
      <c r="UI13" s="43"/>
      <c r="UJ13" s="43"/>
      <c r="UK13" s="43"/>
      <c r="UL13" s="43"/>
      <c r="UM13" s="43"/>
      <c r="UN13" s="43"/>
      <c r="UO13" s="43"/>
      <c r="UP13" s="43"/>
      <c r="UQ13" s="43"/>
      <c r="UR13" s="43"/>
      <c r="US13" s="43"/>
      <c r="UT13" s="43"/>
      <c r="UU13" s="43"/>
      <c r="UV13" s="43"/>
      <c r="UW13" s="43"/>
      <c r="UX13" s="43"/>
      <c r="UY13" s="43"/>
      <c r="UZ13" s="43"/>
      <c r="VA13" s="43"/>
      <c r="VB13" s="43"/>
      <c r="VC13" s="43"/>
      <c r="VD13" s="43"/>
      <c r="VE13" s="43"/>
      <c r="VF13" s="43"/>
      <c r="VG13" s="43"/>
      <c r="VH13" s="43"/>
      <c r="VI13" s="43"/>
      <c r="VJ13" s="43"/>
      <c r="VK13" s="43"/>
      <c r="VL13" s="43"/>
      <c r="VM13" s="43"/>
      <c r="VN13" s="43"/>
      <c r="VO13" s="43"/>
      <c r="VP13" s="43"/>
      <c r="VQ13" s="43"/>
      <c r="VR13" s="43"/>
      <c r="VS13" s="43"/>
      <c r="VT13" s="43"/>
      <c r="VU13" s="43"/>
      <c r="VV13" s="43"/>
      <c r="VW13" s="43"/>
      <c r="VX13" s="43"/>
      <c r="VY13" s="43"/>
      <c r="VZ13" s="43"/>
      <c r="WA13" s="43"/>
      <c r="WB13" s="43"/>
      <c r="WC13" s="43"/>
      <c r="WD13" s="43"/>
      <c r="WE13" s="43"/>
      <c r="WF13" s="43"/>
      <c r="WG13" s="43"/>
      <c r="WH13" s="43"/>
      <c r="WI13" s="43"/>
      <c r="WJ13" s="43"/>
      <c r="WK13" s="43"/>
      <c r="WL13" s="43"/>
      <c r="WM13" s="43"/>
      <c r="WN13" s="43"/>
      <c r="WO13" s="43"/>
      <c r="WP13" s="43"/>
      <c r="WQ13" s="43"/>
      <c r="WR13" s="43"/>
      <c r="WS13" s="43"/>
      <c r="WT13" s="43"/>
      <c r="WU13" s="43"/>
      <c r="WV13" s="43"/>
      <c r="WW13" s="43"/>
      <c r="WX13" s="43"/>
      <c r="WY13" s="43"/>
      <c r="WZ13" s="43"/>
      <c r="XA13" s="43"/>
      <c r="XB13" s="43"/>
      <c r="XC13" s="43"/>
      <c r="XD13" s="43"/>
      <c r="XE13" s="43"/>
      <c r="XF13" s="43"/>
      <c r="XG13" s="43"/>
      <c r="XH13" s="43"/>
      <c r="XI13" s="43"/>
      <c r="XJ13" s="43"/>
      <c r="XK13" s="43"/>
      <c r="XL13" s="43"/>
      <c r="XM13" s="43"/>
      <c r="XN13" s="43"/>
      <c r="XO13" s="43"/>
      <c r="XP13" s="43"/>
      <c r="XQ13" s="43"/>
      <c r="XR13" s="43"/>
      <c r="XS13" s="43"/>
      <c r="XT13" s="43"/>
      <c r="XU13" s="43"/>
      <c r="XV13" s="43"/>
      <c r="XW13" s="43"/>
      <c r="XX13" s="43"/>
      <c r="XY13" s="43"/>
      <c r="XZ13" s="43"/>
      <c r="YA13" s="43"/>
      <c r="YB13" s="43"/>
      <c r="YC13" s="43"/>
      <c r="YD13" s="43"/>
      <c r="YE13" s="43"/>
      <c r="YF13" s="43"/>
      <c r="YG13" s="43"/>
      <c r="YH13" s="43"/>
      <c r="YI13" s="43"/>
      <c r="YJ13" s="43"/>
      <c r="YK13" s="43"/>
      <c r="YL13" s="43"/>
      <c r="YM13" s="43"/>
      <c r="YN13" s="43"/>
      <c r="YO13" s="43"/>
      <c r="YP13" s="43"/>
      <c r="YQ13" s="43"/>
      <c r="YR13" s="43"/>
      <c r="YS13" s="43"/>
      <c r="YT13" s="43"/>
      <c r="YU13" s="43"/>
      <c r="YV13" s="43"/>
      <c r="YW13" s="43"/>
      <c r="YX13" s="43"/>
      <c r="YY13" s="43"/>
      <c r="YZ13" s="43"/>
      <c r="ZA13" s="43"/>
      <c r="ZB13" s="43"/>
      <c r="ZC13" s="43"/>
      <c r="ZD13" s="43"/>
      <c r="ZE13" s="43"/>
      <c r="ZF13" s="43"/>
      <c r="ZG13" s="43"/>
      <c r="ZH13" s="43"/>
      <c r="ZI13" s="43"/>
      <c r="ZJ13" s="43"/>
      <c r="ZK13" s="43"/>
      <c r="ZL13" s="43"/>
      <c r="ZM13" s="43"/>
      <c r="ZN13" s="43"/>
      <c r="ZO13" s="43"/>
      <c r="ZP13" s="43"/>
      <c r="ZQ13" s="43"/>
      <c r="ZR13" s="43"/>
      <c r="ZS13" s="43"/>
      <c r="ZT13" s="43"/>
      <c r="ZU13" s="43"/>
      <c r="ZV13" s="43"/>
      <c r="ZW13" s="43"/>
      <c r="ZX13" s="43"/>
      <c r="ZY13" s="43"/>
      <c r="ZZ13" s="43"/>
      <c r="AAA13" s="43"/>
      <c r="AAB13" s="43"/>
      <c r="AAC13" s="43"/>
      <c r="AAD13" s="43"/>
      <c r="AAE13" s="43"/>
      <c r="AAF13" s="43"/>
      <c r="AAG13" s="43"/>
      <c r="AAH13" s="43"/>
      <c r="AAI13" s="43"/>
      <c r="AAJ13" s="43"/>
      <c r="AAK13" s="43"/>
      <c r="AAL13" s="43"/>
      <c r="AAM13" s="43"/>
      <c r="AAN13" s="43"/>
      <c r="AAO13" s="43"/>
      <c r="AAP13" s="43"/>
      <c r="AAQ13" s="43"/>
      <c r="AAR13" s="43"/>
      <c r="AAS13" s="43"/>
      <c r="AAT13" s="43"/>
      <c r="AAU13" s="43"/>
      <c r="AAV13" s="43"/>
      <c r="AAW13" s="43"/>
      <c r="AAX13" s="43"/>
      <c r="AAY13" s="43"/>
      <c r="AAZ13" s="43"/>
      <c r="ABA13" s="43"/>
      <c r="ABB13" s="43"/>
      <c r="ABC13" s="43"/>
      <c r="ABD13" s="43"/>
      <c r="ABE13" s="43"/>
      <c r="ABF13" s="43"/>
      <c r="ABG13" s="43"/>
      <c r="ABH13" s="43"/>
      <c r="ABI13" s="43"/>
      <c r="ABJ13" s="43"/>
      <c r="ABK13" s="43"/>
      <c r="ABL13" s="43"/>
      <c r="ABM13" s="43"/>
      <c r="ABN13" s="43"/>
      <c r="ABO13" s="43"/>
      <c r="ABP13" s="43"/>
      <c r="ABQ13" s="43"/>
      <c r="ABR13" s="43"/>
      <c r="ABS13" s="43"/>
      <c r="ABT13" s="43"/>
      <c r="ABU13" s="43"/>
      <c r="ABV13" s="43"/>
      <c r="ABW13" s="43"/>
      <c r="ABX13" s="43"/>
      <c r="ABY13" s="43"/>
      <c r="ABZ13" s="43"/>
      <c r="ACA13" s="43"/>
      <c r="ACB13" s="43"/>
      <c r="ACC13" s="43"/>
      <c r="ACD13" s="43"/>
      <c r="ACE13" s="43"/>
      <c r="ACF13" s="43"/>
      <c r="ACG13" s="43"/>
      <c r="ACH13" s="43"/>
      <c r="ACI13" s="43"/>
      <c r="ACJ13" s="43"/>
      <c r="ACK13" s="43"/>
      <c r="ACL13" s="43"/>
      <c r="ACM13" s="43"/>
      <c r="ACN13" s="43"/>
      <c r="ACO13" s="43"/>
      <c r="ACP13" s="43"/>
      <c r="ACQ13" s="43"/>
      <c r="ACR13" s="43"/>
      <c r="ACS13" s="43"/>
      <c r="ACT13" s="43"/>
      <c r="ACU13" s="43"/>
      <c r="ACV13" s="43"/>
      <c r="ACW13" s="43"/>
      <c r="ACX13" s="43"/>
      <c r="ACY13" s="43"/>
      <c r="ACZ13" s="43"/>
      <c r="ADA13" s="43"/>
      <c r="ADB13" s="43"/>
      <c r="ADC13" s="43"/>
      <c r="ADD13" s="43"/>
      <c r="ADE13" s="43"/>
      <c r="ADF13" s="43"/>
      <c r="ADG13" s="43"/>
      <c r="ADH13" s="43"/>
      <c r="ADI13" s="43"/>
      <c r="ADJ13" s="43"/>
      <c r="ADK13" s="43"/>
      <c r="ADL13" s="43"/>
      <c r="ADM13" s="43"/>
      <c r="ADN13" s="43"/>
      <c r="ADO13" s="43"/>
      <c r="ADP13" s="43"/>
      <c r="ADQ13" s="43"/>
      <c r="ADR13" s="43"/>
      <c r="ADS13" s="43"/>
      <c r="ADT13" s="43"/>
      <c r="ADU13" s="43"/>
      <c r="ADV13" s="43"/>
      <c r="ADW13" s="43"/>
      <c r="ADX13" s="43"/>
      <c r="ADY13" s="43"/>
      <c r="ADZ13" s="43"/>
      <c r="AEA13" s="43"/>
      <c r="AEB13" s="43"/>
      <c r="AEC13" s="43"/>
      <c r="AED13" s="43"/>
      <c r="AEE13" s="43"/>
      <c r="AEF13" s="43"/>
      <c r="AEG13" s="43"/>
      <c r="AEH13" s="43"/>
      <c r="AEI13" s="43"/>
      <c r="AEJ13" s="43"/>
      <c r="AEK13" s="43"/>
      <c r="AEL13" s="43"/>
      <c r="AEM13" s="43"/>
      <c r="AEN13" s="43"/>
      <c r="AEO13" s="43"/>
      <c r="AEP13" s="43"/>
      <c r="AEQ13" s="43"/>
      <c r="AER13" s="43"/>
      <c r="AES13" s="43"/>
      <c r="AET13" s="43"/>
      <c r="AEU13" s="43"/>
      <c r="AEV13" s="43"/>
      <c r="AEW13" s="43"/>
      <c r="AEX13" s="43"/>
      <c r="AEY13" s="43"/>
      <c r="AEZ13" s="43"/>
      <c r="AFA13" s="43"/>
      <c r="AFB13" s="43"/>
      <c r="AFC13" s="43"/>
      <c r="AFD13" s="43"/>
      <c r="AFE13" s="43"/>
      <c r="AFF13" s="43"/>
      <c r="AFG13" s="43"/>
      <c r="AFH13" s="43"/>
      <c r="AFI13" s="43"/>
      <c r="AFJ13" s="43"/>
      <c r="AFK13" s="43"/>
      <c r="AFL13" s="43"/>
      <c r="AFM13" s="43"/>
      <c r="AFN13" s="43"/>
      <c r="AFO13" s="43"/>
      <c r="AFP13" s="43"/>
      <c r="AFQ13" s="43"/>
      <c r="AFR13" s="43"/>
      <c r="AFS13" s="43"/>
      <c r="AFT13" s="43"/>
      <c r="AFU13" s="43"/>
      <c r="AFV13" s="43"/>
      <c r="AFW13" s="43"/>
      <c r="AFX13" s="43"/>
      <c r="AFY13" s="43"/>
      <c r="AFZ13" s="43"/>
      <c r="AGA13" s="43"/>
      <c r="AGB13" s="43"/>
      <c r="AGC13" s="43"/>
      <c r="AGD13" s="43"/>
      <c r="AGE13" s="43"/>
      <c r="AGF13" s="43"/>
      <c r="AGG13" s="43"/>
      <c r="AGH13" s="43"/>
      <c r="AGI13" s="43"/>
      <c r="AGJ13" s="43"/>
      <c r="AGK13" s="43"/>
      <c r="AGL13" s="43"/>
      <c r="AGM13" s="43"/>
      <c r="AGN13" s="43"/>
      <c r="AGO13" s="43"/>
      <c r="AGP13" s="43"/>
      <c r="AGQ13" s="43"/>
      <c r="AGR13" s="43"/>
      <c r="AGS13" s="43"/>
      <c r="AGT13" s="43"/>
      <c r="AGU13" s="43"/>
      <c r="AGV13" s="43"/>
      <c r="AGW13" s="43"/>
      <c r="AGX13" s="43"/>
      <c r="AGY13" s="43"/>
      <c r="AGZ13" s="43"/>
      <c r="AHA13" s="43"/>
      <c r="AHB13" s="43"/>
      <c r="AHC13" s="43"/>
      <c r="AHD13" s="43"/>
      <c r="AHE13" s="43"/>
      <c r="AHF13" s="43"/>
      <c r="AHG13" s="43"/>
      <c r="AHH13" s="43"/>
      <c r="AHI13" s="43"/>
      <c r="AHJ13" s="43"/>
      <c r="AHK13" s="43"/>
      <c r="AHL13" s="43"/>
      <c r="AHM13" s="43"/>
      <c r="AHN13" s="43"/>
      <c r="AHO13" s="43"/>
      <c r="AHP13" s="43"/>
      <c r="AHQ13" s="43"/>
      <c r="AHR13" s="43"/>
      <c r="AHS13" s="43"/>
      <c r="AHT13" s="43"/>
      <c r="AHU13" s="43"/>
      <c r="AHV13" s="43"/>
      <c r="AHW13" s="43"/>
      <c r="AHX13" s="43"/>
      <c r="AHY13" s="43"/>
      <c r="AHZ13" s="43"/>
      <c r="AIA13" s="43"/>
      <c r="AIB13" s="43"/>
      <c r="AIC13" s="43"/>
      <c r="AID13" s="43"/>
      <c r="AIE13" s="43"/>
      <c r="AIF13" s="43"/>
      <c r="AIG13" s="43"/>
      <c r="AIH13" s="43"/>
      <c r="AII13" s="43"/>
      <c r="AIJ13" s="43"/>
      <c r="AIK13" s="43"/>
      <c r="AIL13" s="43"/>
      <c r="AIM13" s="43"/>
      <c r="AIN13" s="43"/>
      <c r="AIO13" s="43"/>
      <c r="AIP13" s="43"/>
      <c r="AIQ13" s="43"/>
      <c r="AIR13" s="43"/>
      <c r="AIS13" s="43"/>
      <c r="AIT13" s="43"/>
      <c r="AIU13" s="43"/>
      <c r="AIV13" s="43"/>
      <c r="AIW13" s="43"/>
      <c r="AIX13" s="43"/>
      <c r="AIY13" s="43"/>
      <c r="AIZ13" s="43"/>
      <c r="AJA13" s="43"/>
      <c r="AJB13" s="43"/>
      <c r="AJC13" s="43"/>
      <c r="AJD13" s="43"/>
      <c r="AJE13" s="43"/>
      <c r="AJF13" s="43"/>
      <c r="AJG13" s="43"/>
      <c r="AJH13" s="43"/>
      <c r="AJI13" s="43"/>
      <c r="AJJ13" s="43"/>
      <c r="AJK13" s="43"/>
      <c r="AJL13" s="43"/>
      <c r="AJM13" s="43"/>
      <c r="AJN13" s="43"/>
      <c r="AJO13" s="43"/>
      <c r="AJP13" s="43"/>
      <c r="AJQ13" s="43"/>
      <c r="AJR13" s="43"/>
      <c r="AJS13" s="43"/>
      <c r="AJT13" s="43"/>
      <c r="AJU13" s="43"/>
      <c r="AJV13" s="43"/>
      <c r="AJW13" s="43"/>
      <c r="AJX13" s="43"/>
      <c r="AJY13" s="43"/>
      <c r="AJZ13" s="43"/>
      <c r="AKA13" s="43"/>
      <c r="AKB13" s="43"/>
      <c r="AKC13" s="43"/>
      <c r="AKD13" s="43"/>
      <c r="AKE13" s="43"/>
      <c r="AKF13" s="43"/>
      <c r="AKG13" s="43"/>
      <c r="AKH13" s="43"/>
      <c r="AKI13" s="43"/>
      <c r="AKJ13" s="43"/>
      <c r="AKK13" s="43"/>
      <c r="AKL13" s="43"/>
      <c r="AKM13" s="43"/>
      <c r="AKN13" s="43"/>
      <c r="AKO13" s="43"/>
      <c r="AKP13" s="43"/>
      <c r="AKQ13" s="43"/>
      <c r="AKR13" s="43"/>
      <c r="AKS13" s="43"/>
      <c r="AKT13" s="43"/>
      <c r="AKU13" s="43"/>
      <c r="AKV13" s="43"/>
      <c r="AKW13" s="43"/>
      <c r="AKX13" s="43"/>
      <c r="AKY13" s="43"/>
      <c r="AKZ13" s="43"/>
      <c r="ALA13" s="43"/>
      <c r="ALB13" s="43"/>
      <c r="ALC13" s="43"/>
      <c r="ALD13" s="43"/>
      <c r="ALE13" s="43"/>
      <c r="ALF13" s="43"/>
      <c r="ALG13" s="43"/>
      <c r="ALH13" s="43"/>
      <c r="ALI13" s="43"/>
      <c r="ALJ13" s="43"/>
      <c r="ALK13" s="43"/>
      <c r="ALL13" s="43"/>
      <c r="ALM13" s="43"/>
      <c r="ALN13" s="43"/>
      <c r="ALO13" s="43"/>
      <c r="ALP13" s="43"/>
      <c r="ALQ13" s="43"/>
      <c r="ALR13" s="43"/>
      <c r="ALS13" s="43"/>
      <c r="ALT13" s="43"/>
      <c r="ALU13" s="43"/>
      <c r="ALV13" s="43"/>
      <c r="ALW13" s="43"/>
      <c r="ALX13" s="43"/>
      <c r="ALY13" s="43"/>
      <c r="ALZ13" s="43"/>
      <c r="AMA13" s="43"/>
      <c r="AMB13" s="43"/>
      <c r="AMC13" s="43"/>
    </row>
    <row r="14" spans="1:1017" ht="23.25" x14ac:dyDescent="0.2">
      <c r="A14" s="87"/>
      <c r="B14" s="78"/>
      <c r="C14" s="65"/>
      <c r="D14" s="65"/>
      <c r="E14" s="66"/>
      <c r="F14" s="12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</row>
    <row r="15" spans="1:1017" ht="40.5" x14ac:dyDescent="0.2">
      <c r="A15" s="81">
        <f t="shared" si="0"/>
        <v>4114</v>
      </c>
      <c r="B15" s="84" t="s">
        <v>99</v>
      </c>
      <c r="C15" s="62" t="s">
        <v>95</v>
      </c>
      <c r="D15" s="63" t="s">
        <v>96</v>
      </c>
      <c r="E15" s="121"/>
      <c r="F15" s="48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</row>
    <row r="16" spans="1:1017" ht="40.5" x14ac:dyDescent="0.2">
      <c r="A16" s="81">
        <f t="shared" si="0"/>
        <v>4115</v>
      </c>
      <c r="B16" s="84" t="s">
        <v>99</v>
      </c>
      <c r="C16" s="62" t="s">
        <v>95</v>
      </c>
      <c r="D16" s="64" t="s">
        <v>97</v>
      </c>
      <c r="E16" s="121"/>
      <c r="F16" s="48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</row>
    <row r="17" spans="1:65" ht="40.5" x14ac:dyDescent="0.2">
      <c r="A17" s="81">
        <f t="shared" si="0"/>
        <v>4116</v>
      </c>
      <c r="B17" s="84" t="s">
        <v>99</v>
      </c>
      <c r="C17" s="62" t="s">
        <v>95</v>
      </c>
      <c r="D17" s="64" t="s">
        <v>98</v>
      </c>
      <c r="E17" s="121"/>
      <c r="F17" s="4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</row>
    <row r="18" spans="1:65" ht="23.25" x14ac:dyDescent="0.2">
      <c r="A18" s="87"/>
      <c r="B18" s="78"/>
      <c r="C18" s="65"/>
      <c r="D18" s="65"/>
      <c r="E18" s="66"/>
      <c r="F18" s="12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</row>
    <row r="19" spans="1:65" ht="60.75" x14ac:dyDescent="0.2">
      <c r="A19" s="81">
        <f t="shared" si="0"/>
        <v>4117</v>
      </c>
      <c r="B19" s="84" t="s">
        <v>100</v>
      </c>
      <c r="C19" s="62" t="s">
        <v>95</v>
      </c>
      <c r="D19" s="63" t="s">
        <v>96</v>
      </c>
      <c r="E19" s="121"/>
      <c r="F19" s="122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</row>
    <row r="20" spans="1:65" ht="60.75" x14ac:dyDescent="0.2">
      <c r="A20" s="81">
        <f t="shared" si="0"/>
        <v>4118</v>
      </c>
      <c r="B20" s="84" t="s">
        <v>100</v>
      </c>
      <c r="C20" s="62" t="s">
        <v>95</v>
      </c>
      <c r="D20" s="64" t="s">
        <v>97</v>
      </c>
      <c r="E20" s="121"/>
      <c r="F20" s="122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</row>
    <row r="21" spans="1:65" ht="60.75" x14ac:dyDescent="0.2">
      <c r="A21" s="81">
        <f t="shared" si="0"/>
        <v>4119</v>
      </c>
      <c r="B21" s="84" t="s">
        <v>100</v>
      </c>
      <c r="C21" s="62" t="s">
        <v>95</v>
      </c>
      <c r="D21" s="64" t="s">
        <v>98</v>
      </c>
      <c r="E21" s="121"/>
      <c r="F21" s="122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</row>
    <row r="22" spans="1:65" ht="23.25" x14ac:dyDescent="0.3">
      <c r="A22" s="87"/>
      <c r="B22" s="137"/>
      <c r="C22" s="138"/>
      <c r="D22" s="138"/>
      <c r="E22" s="138"/>
      <c r="F22" s="12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</row>
    <row r="23" spans="1:65" ht="84" customHeight="1" x14ac:dyDescent="0.2">
      <c r="A23" s="81">
        <f t="shared" si="0"/>
        <v>4120</v>
      </c>
      <c r="B23" s="84" t="s">
        <v>101</v>
      </c>
      <c r="C23" s="62" t="s">
        <v>95</v>
      </c>
      <c r="D23" s="63" t="s">
        <v>96</v>
      </c>
      <c r="E23" s="121"/>
      <c r="F23" s="48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</row>
    <row r="24" spans="1:65" ht="84" customHeight="1" x14ac:dyDescent="0.2">
      <c r="A24" s="81">
        <f t="shared" si="0"/>
        <v>4121</v>
      </c>
      <c r="B24" s="84" t="s">
        <v>101</v>
      </c>
      <c r="C24" s="62" t="s">
        <v>95</v>
      </c>
      <c r="D24" s="64" t="s">
        <v>97</v>
      </c>
      <c r="E24" s="121"/>
      <c r="F24" s="48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</row>
    <row r="25" spans="1:65" ht="84" customHeight="1" x14ac:dyDescent="0.2">
      <c r="A25" s="81">
        <f t="shared" si="0"/>
        <v>4122</v>
      </c>
      <c r="B25" s="84" t="s">
        <v>101</v>
      </c>
      <c r="C25" s="62" t="s">
        <v>95</v>
      </c>
      <c r="D25" s="64" t="s">
        <v>98</v>
      </c>
      <c r="E25" s="121"/>
      <c r="F25" s="48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</row>
    <row r="26" spans="1:65" ht="45.75" customHeight="1" x14ac:dyDescent="0.2">
      <c r="B26"/>
      <c r="C26"/>
      <c r="D26" s="119" t="s">
        <v>122</v>
      </c>
      <c r="E26" s="120">
        <f>+E25+E24+E23+F21+F20+F19+E19+E20+E21+E17+E16+E15+F13+F12+F11+E11+E12+E13</f>
        <v>0</v>
      </c>
      <c r="F26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</row>
    <row r="27" spans="1:65" ht="12.75" customHeight="1" x14ac:dyDescent="0.2">
      <c r="A27" s="18"/>
    </row>
    <row r="28" spans="1:65" ht="12.75" customHeight="1" x14ac:dyDescent="0.2">
      <c r="A28" s="18"/>
    </row>
    <row r="29" spans="1:65" ht="12.75" customHeight="1" x14ac:dyDescent="0.2">
      <c r="A29" s="18"/>
    </row>
    <row r="30" spans="1:65" ht="12.75" customHeight="1" x14ac:dyDescent="0.2">
      <c r="A30" s="18"/>
    </row>
    <row r="31" spans="1:65" ht="12.75" customHeight="1" x14ac:dyDescent="0.2">
      <c r="A31" s="18"/>
    </row>
    <row r="32" spans="1:65" ht="12.75" customHeight="1" x14ac:dyDescent="0.2">
      <c r="A32" s="18"/>
    </row>
    <row r="33" spans="1:1" ht="12.75" customHeight="1" x14ac:dyDescent="0.2">
      <c r="A33" s="18"/>
    </row>
    <row r="34" spans="1:1" ht="12.75" customHeight="1" x14ac:dyDescent="0.2">
      <c r="A34" s="18"/>
    </row>
    <row r="35" spans="1:1" ht="12.75" customHeight="1" x14ac:dyDescent="0.2">
      <c r="A35" s="18"/>
    </row>
    <row r="36" spans="1:1" ht="12.75" customHeight="1" x14ac:dyDescent="0.2">
      <c r="A36" s="18"/>
    </row>
    <row r="37" spans="1:1" ht="12.75" customHeight="1" x14ac:dyDescent="0.2">
      <c r="A37" s="18"/>
    </row>
  </sheetData>
  <mergeCells count="4">
    <mergeCell ref="B6:F6"/>
    <mergeCell ref="B7:F7"/>
    <mergeCell ref="B8:F8"/>
    <mergeCell ref="B22:E22"/>
  </mergeCells>
  <printOptions horizontalCentered="1"/>
  <pageMargins left="0.39370078740157483" right="0.39370078740157483" top="7.874015748031496E-2" bottom="7.874015748031496E-2" header="0.15748031496062992" footer="0.15748031496062992"/>
  <pageSetup paperSize="9" scale="47" fitToHeight="0" pageOrder="overThenDown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MD30"/>
  <sheetViews>
    <sheetView showGridLines="0" zoomScale="55" zoomScaleNormal="55" workbookViewId="0">
      <selection activeCell="B5" sqref="B5"/>
    </sheetView>
  </sheetViews>
  <sheetFormatPr baseColWidth="10" defaultColWidth="11" defaultRowHeight="12.75" customHeight="1" x14ac:dyDescent="0.2"/>
  <cols>
    <col min="1" max="1" width="22.25" customWidth="1"/>
    <col min="2" max="2" width="132.625" style="5" customWidth="1"/>
    <col min="3" max="3" width="29" style="8" customWidth="1"/>
    <col min="4" max="4" width="35.125" style="5" customWidth="1"/>
    <col min="5" max="6" width="36.875" style="5" customWidth="1"/>
    <col min="7" max="7" width="7.125" style="5" customWidth="1"/>
    <col min="8" max="8" width="8.25" style="5" customWidth="1"/>
    <col min="9" max="65" width="10.5" style="5" customWidth="1"/>
    <col min="66" max="1018" width="10.5" customWidth="1"/>
  </cols>
  <sheetData>
    <row r="1" spans="1:1018" ht="42" customHeight="1" x14ac:dyDescent="0.2">
      <c r="B1" s="1"/>
      <c r="C1" s="1"/>
      <c r="D1" s="2"/>
      <c r="E1" s="3"/>
      <c r="F1" s="3"/>
    </row>
    <row r="2" spans="1:1018" ht="49.5" customHeight="1" x14ac:dyDescent="0.2">
      <c r="B2" s="58" t="s">
        <v>0</v>
      </c>
      <c r="C2" s="58"/>
      <c r="D2" s="59"/>
      <c r="E2" s="59"/>
      <c r="F2" s="59"/>
    </row>
    <row r="3" spans="1:1018" ht="42" customHeight="1" x14ac:dyDescent="0.2">
      <c r="B3" s="1"/>
      <c r="C3" s="1"/>
      <c r="D3" s="2"/>
      <c r="E3" s="3"/>
      <c r="F3" s="3"/>
    </row>
    <row r="4" spans="1:1018" ht="42" customHeight="1" x14ac:dyDescent="0.2">
      <c r="B4" s="106" t="s">
        <v>102</v>
      </c>
      <c r="C4" s="53"/>
      <c r="D4" s="54"/>
      <c r="E4" s="54"/>
      <c r="F4" s="54"/>
    </row>
    <row r="5" spans="1:1018" ht="42" customHeight="1" x14ac:dyDescent="0.2">
      <c r="B5" s="54" t="s">
        <v>103</v>
      </c>
      <c r="C5" s="77"/>
      <c r="D5" s="77"/>
      <c r="E5" s="77"/>
      <c r="F5" s="77"/>
    </row>
    <row r="6" spans="1:1018" ht="27" x14ac:dyDescent="0.2">
      <c r="B6" s="129" t="s">
        <v>104</v>
      </c>
      <c r="C6" s="139"/>
      <c r="D6" s="139"/>
      <c r="E6" s="139"/>
      <c r="F6" s="139"/>
    </row>
    <row r="7" spans="1:1018" ht="28.5" customHeight="1" x14ac:dyDescent="0.2">
      <c r="B7" s="131" t="s">
        <v>3</v>
      </c>
      <c r="C7" s="131"/>
      <c r="D7" s="131"/>
      <c r="E7" s="131"/>
      <c r="F7" s="131"/>
    </row>
    <row r="8" spans="1:1018" ht="41.25" customHeight="1" x14ac:dyDescent="0.2">
      <c r="B8" s="133" t="s">
        <v>55</v>
      </c>
      <c r="C8" s="133"/>
      <c r="D8" s="133"/>
      <c r="E8" s="133"/>
      <c r="F8" s="133"/>
    </row>
    <row r="9" spans="1:1018" ht="101.25" x14ac:dyDescent="0.2">
      <c r="B9" s="57" t="s">
        <v>105</v>
      </c>
      <c r="C9" s="76" t="s">
        <v>6</v>
      </c>
      <c r="D9" s="76" t="s">
        <v>7</v>
      </c>
      <c r="E9" s="114" t="s">
        <v>92</v>
      </c>
      <c r="F9" s="114" t="s">
        <v>93</v>
      </c>
    </row>
    <row r="10" spans="1:1018" ht="23.25" customHeight="1" x14ac:dyDescent="0.2">
      <c r="A10" s="80" t="s">
        <v>5</v>
      </c>
      <c r="B10" s="47"/>
      <c r="C10" s="11"/>
      <c r="D10" s="11"/>
      <c r="E10" s="12"/>
      <c r="F10" s="12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7"/>
      <c r="AFD10" s="27"/>
      <c r="AFE10" s="27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  <c r="AIB10" s="27"/>
      <c r="AIC10" s="27"/>
      <c r="AID10" s="27"/>
      <c r="AIE10" s="27"/>
      <c r="AIF10" s="27"/>
      <c r="AIG10" s="27"/>
      <c r="AIH10" s="27"/>
      <c r="AII10" s="27"/>
      <c r="AIJ10" s="27"/>
      <c r="AIK10" s="27"/>
      <c r="AIL10" s="27"/>
      <c r="AIM10" s="27"/>
      <c r="AIN10" s="27"/>
      <c r="AIO10" s="27"/>
      <c r="AIP10" s="27"/>
      <c r="AIQ10" s="27"/>
      <c r="AIR10" s="27"/>
      <c r="AIS10" s="27"/>
      <c r="AIT10" s="27"/>
      <c r="AIU10" s="27"/>
      <c r="AIV10" s="27"/>
      <c r="AIW10" s="27"/>
      <c r="AIX10" s="27"/>
      <c r="AIY10" s="27"/>
      <c r="AIZ10" s="27"/>
      <c r="AJA10" s="27"/>
      <c r="AJB10" s="27"/>
      <c r="AJC10" s="27"/>
      <c r="AJD10" s="27"/>
      <c r="AJE10" s="27"/>
      <c r="AJF10" s="27"/>
      <c r="AJG10" s="27"/>
      <c r="AJH10" s="27"/>
      <c r="AJI10" s="27"/>
      <c r="AJJ10" s="27"/>
      <c r="AJK10" s="27"/>
      <c r="AJL10" s="27"/>
      <c r="AJM10" s="27"/>
      <c r="AJN10" s="27"/>
      <c r="AJO10" s="27"/>
      <c r="AJP10" s="27"/>
      <c r="AJQ10" s="27"/>
      <c r="AJR10" s="27"/>
      <c r="AJS10" s="27"/>
      <c r="AJT10" s="27"/>
      <c r="AJU10" s="27"/>
      <c r="AJV10" s="27"/>
      <c r="AJW10" s="27"/>
      <c r="AJX10" s="27"/>
      <c r="AJY10" s="27"/>
      <c r="AJZ10" s="27"/>
      <c r="AKA10" s="27"/>
      <c r="AKB10" s="27"/>
      <c r="AKC10" s="27"/>
      <c r="AKD10" s="27"/>
      <c r="AKE10" s="27"/>
      <c r="AKF10" s="27"/>
      <c r="AKG10" s="27"/>
      <c r="AKH10" s="27"/>
      <c r="AKI10" s="27"/>
      <c r="AKJ10" s="27"/>
      <c r="AKK10" s="27"/>
      <c r="AKL10" s="27"/>
      <c r="AKM10" s="27"/>
      <c r="AKN10" s="27"/>
      <c r="AKO10" s="27"/>
      <c r="AKP10" s="27"/>
      <c r="AKQ10" s="27"/>
      <c r="AKR10" s="27"/>
      <c r="AKS10" s="27"/>
      <c r="AKT10" s="27"/>
      <c r="AKU10" s="27"/>
      <c r="AKV10" s="27"/>
      <c r="AKW10" s="27"/>
      <c r="AKX10" s="27"/>
      <c r="AKY10" s="27"/>
      <c r="AKZ10" s="27"/>
      <c r="ALA10" s="27"/>
      <c r="ALB10" s="27"/>
      <c r="ALC10" s="27"/>
      <c r="ALD10" s="27"/>
      <c r="ALE10" s="27"/>
      <c r="ALF10" s="27"/>
      <c r="ALG10" s="27"/>
      <c r="ALH10" s="27"/>
      <c r="ALI10" s="27"/>
      <c r="ALJ10" s="27"/>
      <c r="ALK10" s="27"/>
      <c r="ALL10" s="27"/>
      <c r="ALM10" s="27"/>
      <c r="ALN10" s="27"/>
      <c r="ALO10" s="27"/>
      <c r="ALP10" s="27"/>
      <c r="ALQ10" s="27"/>
      <c r="ALR10" s="27"/>
      <c r="ALS10" s="27"/>
      <c r="ALT10" s="27"/>
      <c r="ALU10" s="27"/>
      <c r="ALV10" s="27"/>
      <c r="ALW10" s="27"/>
      <c r="ALX10" s="27"/>
      <c r="ALY10" s="27"/>
      <c r="ALZ10" s="27"/>
      <c r="AMA10" s="27"/>
      <c r="AMB10" s="27"/>
      <c r="AMC10" s="27"/>
      <c r="AMD10" s="27"/>
    </row>
    <row r="11" spans="1:1018" ht="40.5" x14ac:dyDescent="0.2">
      <c r="A11" s="81">
        <v>5111</v>
      </c>
      <c r="B11" s="90" t="s">
        <v>106</v>
      </c>
      <c r="C11" s="62" t="s">
        <v>95</v>
      </c>
      <c r="D11" s="63" t="s">
        <v>96</v>
      </c>
      <c r="E11" s="121"/>
      <c r="F11" s="121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  <c r="UU11" s="27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7"/>
      <c r="VG11" s="27"/>
      <c r="VH11" s="27"/>
      <c r="VI11" s="27"/>
      <c r="VJ11" s="27"/>
      <c r="VK11" s="27"/>
      <c r="VL11" s="27"/>
      <c r="VM11" s="27"/>
      <c r="VN11" s="27"/>
      <c r="VO11" s="27"/>
      <c r="VP11" s="27"/>
      <c r="VQ11" s="27"/>
      <c r="VR11" s="27"/>
      <c r="VS11" s="27"/>
      <c r="VT11" s="27"/>
      <c r="VU11" s="27"/>
      <c r="VV11" s="27"/>
      <c r="VW11" s="27"/>
      <c r="VX11" s="27"/>
      <c r="VY11" s="27"/>
      <c r="VZ11" s="27"/>
      <c r="WA11" s="27"/>
      <c r="WB11" s="27"/>
      <c r="WC11" s="27"/>
      <c r="WD11" s="27"/>
      <c r="WE11" s="27"/>
      <c r="WF11" s="27"/>
      <c r="WG11" s="27"/>
      <c r="WH11" s="27"/>
      <c r="WI11" s="27"/>
      <c r="WJ11" s="27"/>
      <c r="WK11" s="27"/>
      <c r="WL11" s="27"/>
      <c r="WM11" s="27"/>
      <c r="WN11" s="27"/>
      <c r="WO11" s="27"/>
      <c r="WP11" s="27"/>
      <c r="WQ11" s="27"/>
      <c r="WR11" s="27"/>
      <c r="WS11" s="27"/>
      <c r="WT11" s="27"/>
      <c r="WU11" s="27"/>
      <c r="WV11" s="27"/>
      <c r="WW11" s="27"/>
      <c r="WX11" s="27"/>
      <c r="WY11" s="27"/>
      <c r="WZ11" s="27"/>
      <c r="XA11" s="27"/>
      <c r="XB11" s="27"/>
      <c r="XC11" s="27"/>
      <c r="XD11" s="27"/>
      <c r="XE11" s="27"/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/>
      <c r="XV11" s="27"/>
      <c r="XW11" s="27"/>
      <c r="XX11" s="27"/>
      <c r="XY11" s="27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/>
      <c r="AAZ11" s="27"/>
      <c r="ABA11" s="27"/>
      <c r="ABB11" s="27"/>
      <c r="ABC11" s="27"/>
      <c r="ABD11" s="27"/>
      <c r="ABE11" s="27"/>
      <c r="ABF11" s="27"/>
      <c r="ABG11" s="27"/>
      <c r="ABH11" s="27"/>
      <c r="ABI11" s="27"/>
      <c r="ABJ11" s="27"/>
      <c r="ABK11" s="27"/>
      <c r="ABL11" s="27"/>
      <c r="ABM11" s="27"/>
      <c r="ABN11" s="27"/>
      <c r="ABO11" s="27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7"/>
      <c r="AFD11" s="27"/>
      <c r="AFE11" s="27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  <c r="AIB11" s="27"/>
      <c r="AIC11" s="27"/>
      <c r="AID11" s="27"/>
      <c r="AIE11" s="27"/>
      <c r="AIF11" s="27"/>
      <c r="AIG11" s="27"/>
      <c r="AIH11" s="27"/>
      <c r="AII11" s="27"/>
      <c r="AIJ11" s="27"/>
      <c r="AIK11" s="27"/>
      <c r="AIL11" s="27"/>
      <c r="AIM11" s="27"/>
      <c r="AIN11" s="27"/>
      <c r="AIO11" s="27"/>
      <c r="AIP11" s="27"/>
      <c r="AIQ11" s="27"/>
      <c r="AIR11" s="27"/>
      <c r="AIS11" s="27"/>
      <c r="AIT11" s="27"/>
      <c r="AIU11" s="27"/>
      <c r="AIV11" s="27"/>
      <c r="AIW11" s="27"/>
      <c r="AIX11" s="27"/>
      <c r="AIY11" s="27"/>
      <c r="AIZ11" s="27"/>
      <c r="AJA11" s="27"/>
      <c r="AJB11" s="27"/>
      <c r="AJC11" s="27"/>
      <c r="AJD11" s="27"/>
      <c r="AJE11" s="27"/>
      <c r="AJF11" s="27"/>
      <c r="AJG11" s="27"/>
      <c r="AJH11" s="27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7"/>
      <c r="AKC11" s="27"/>
      <c r="AKD11" s="27"/>
      <c r="AKE11" s="27"/>
      <c r="AKF11" s="27"/>
      <c r="AKG11" s="27"/>
      <c r="AKH11" s="27"/>
      <c r="AKI11" s="27"/>
      <c r="AKJ11" s="27"/>
      <c r="AKK11" s="27"/>
      <c r="AKL11" s="27"/>
      <c r="AKM11" s="27"/>
      <c r="AKN11" s="27"/>
      <c r="AKO11" s="27"/>
      <c r="AKP11" s="27"/>
      <c r="AKQ11" s="27"/>
      <c r="AKR11" s="27"/>
      <c r="AKS11" s="27"/>
      <c r="AKT11" s="27"/>
      <c r="AKU11" s="27"/>
      <c r="AKV11" s="27"/>
      <c r="AKW11" s="27"/>
      <c r="AKX11" s="27"/>
      <c r="AKY11" s="27"/>
      <c r="AKZ11" s="27"/>
      <c r="ALA11" s="27"/>
      <c r="ALB11" s="27"/>
      <c r="ALC11" s="27"/>
      <c r="ALD11" s="27"/>
      <c r="ALE11" s="27"/>
      <c r="ALF11" s="27"/>
      <c r="ALG11" s="27"/>
      <c r="ALH11" s="27"/>
      <c r="ALI11" s="27"/>
      <c r="ALJ11" s="27"/>
      <c r="ALK11" s="27"/>
      <c r="ALL11" s="27"/>
      <c r="ALM11" s="27"/>
      <c r="ALN11" s="27"/>
      <c r="ALO11" s="27"/>
      <c r="ALP11" s="27"/>
      <c r="ALQ11" s="27"/>
      <c r="ALR11" s="27"/>
      <c r="ALS11" s="27"/>
      <c r="ALT11" s="27"/>
      <c r="ALU11" s="27"/>
      <c r="ALV11" s="27"/>
      <c r="ALW11" s="27"/>
      <c r="ALX11" s="27"/>
      <c r="ALY11" s="27"/>
      <c r="ALZ11" s="27"/>
      <c r="AMA11" s="27"/>
      <c r="AMB11" s="27"/>
      <c r="AMC11" s="27"/>
      <c r="AMD11" s="27"/>
    </row>
    <row r="12" spans="1:1018" ht="40.5" x14ac:dyDescent="0.2">
      <c r="A12" s="81">
        <f>+IF(AND(B12&lt;&gt;"",A11=""),A10+1,A11+1)</f>
        <v>5112</v>
      </c>
      <c r="B12" s="90" t="s">
        <v>106</v>
      </c>
      <c r="C12" s="62" t="s">
        <v>95</v>
      </c>
      <c r="D12" s="64" t="s">
        <v>97</v>
      </c>
      <c r="E12" s="121"/>
      <c r="F12" s="121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</row>
    <row r="13" spans="1:1018" ht="40.5" x14ac:dyDescent="0.2">
      <c r="A13" s="81">
        <f t="shared" ref="A13:A29" si="0">+IF(AND(B13&lt;&gt;"",A12=""),A11+1,A12+1)</f>
        <v>5113</v>
      </c>
      <c r="B13" s="90" t="s">
        <v>106</v>
      </c>
      <c r="C13" s="62" t="s">
        <v>95</v>
      </c>
      <c r="D13" s="64" t="s">
        <v>98</v>
      </c>
      <c r="E13" s="121"/>
      <c r="F13" s="121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</row>
    <row r="14" spans="1:1018" ht="20.25" x14ac:dyDescent="0.2">
      <c r="A14" s="87"/>
      <c r="B14" s="78"/>
      <c r="C14" s="79"/>
      <c r="D14" s="65"/>
      <c r="E14" s="66"/>
      <c r="F14" s="66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</row>
    <row r="15" spans="1:1018" ht="40.5" x14ac:dyDescent="0.2">
      <c r="A15" s="81">
        <f t="shared" si="0"/>
        <v>5114</v>
      </c>
      <c r="B15" s="84" t="s">
        <v>107</v>
      </c>
      <c r="C15" s="62" t="s">
        <v>95</v>
      </c>
      <c r="D15" s="63" t="s">
        <v>96</v>
      </c>
      <c r="E15" s="121"/>
      <c r="F15" s="121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</row>
    <row r="16" spans="1:1018" ht="40.5" x14ac:dyDescent="0.2">
      <c r="A16" s="81">
        <f t="shared" si="0"/>
        <v>5115</v>
      </c>
      <c r="B16" s="84" t="s">
        <v>107</v>
      </c>
      <c r="C16" s="62" t="s">
        <v>95</v>
      </c>
      <c r="D16" s="64" t="s">
        <v>97</v>
      </c>
      <c r="E16" s="121"/>
      <c r="F16" s="121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  <c r="AIB16" s="27"/>
      <c r="AIC16" s="27"/>
      <c r="AID16" s="27"/>
      <c r="AIE16" s="27"/>
      <c r="AIF16" s="27"/>
      <c r="AIG16" s="27"/>
      <c r="AIH16" s="27"/>
      <c r="AII16" s="27"/>
      <c r="AIJ16" s="27"/>
      <c r="AIK16" s="27"/>
      <c r="AIL16" s="27"/>
      <c r="AIM16" s="27"/>
      <c r="AIN16" s="27"/>
      <c r="AIO16" s="27"/>
      <c r="AIP16" s="27"/>
      <c r="AIQ16" s="27"/>
      <c r="AIR16" s="27"/>
      <c r="AIS16" s="27"/>
      <c r="AIT16" s="27"/>
      <c r="AIU16" s="27"/>
      <c r="AIV16" s="27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  <c r="AKL16" s="27"/>
      <c r="AKM16" s="27"/>
      <c r="AKN16" s="27"/>
      <c r="AKO16" s="27"/>
      <c r="AKP16" s="27"/>
      <c r="AKQ16" s="27"/>
      <c r="AKR16" s="27"/>
      <c r="AKS16" s="27"/>
      <c r="AKT16" s="27"/>
      <c r="AKU16" s="27"/>
      <c r="AKV16" s="27"/>
      <c r="AKW16" s="27"/>
      <c r="AKX16" s="27"/>
      <c r="AKY16" s="27"/>
      <c r="AKZ16" s="27"/>
      <c r="ALA16" s="27"/>
      <c r="ALB16" s="27"/>
      <c r="ALC16" s="27"/>
      <c r="ALD16" s="27"/>
      <c r="ALE16" s="27"/>
      <c r="ALF16" s="27"/>
      <c r="ALG16" s="27"/>
      <c r="ALH16" s="27"/>
      <c r="ALI16" s="27"/>
      <c r="ALJ16" s="27"/>
      <c r="ALK16" s="27"/>
      <c r="ALL16" s="27"/>
      <c r="ALM16" s="27"/>
      <c r="ALN16" s="27"/>
      <c r="ALO16" s="27"/>
      <c r="ALP16" s="27"/>
      <c r="ALQ16" s="27"/>
      <c r="ALR16" s="27"/>
      <c r="ALS16" s="27"/>
      <c r="ALT16" s="27"/>
      <c r="ALU16" s="27"/>
      <c r="ALV16" s="27"/>
      <c r="ALW16" s="27"/>
      <c r="ALX16" s="27"/>
      <c r="ALY16" s="27"/>
      <c r="ALZ16" s="27"/>
      <c r="AMA16" s="27"/>
      <c r="AMB16" s="27"/>
      <c r="AMC16" s="27"/>
      <c r="AMD16" s="27"/>
    </row>
    <row r="17" spans="1:1018" ht="40.5" x14ac:dyDescent="0.2">
      <c r="A17" s="81">
        <f t="shared" si="0"/>
        <v>5116</v>
      </c>
      <c r="B17" s="84" t="s">
        <v>107</v>
      </c>
      <c r="C17" s="62" t="s">
        <v>95</v>
      </c>
      <c r="D17" s="64" t="s">
        <v>98</v>
      </c>
      <c r="E17" s="121"/>
      <c r="F17" s="121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2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7"/>
      <c r="ABN17" s="27"/>
      <c r="ABO17" s="27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7"/>
      <c r="AFD17" s="27"/>
      <c r="AFE17" s="27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  <c r="AGC17" s="27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7"/>
      <c r="AGR17" s="27"/>
      <c r="AGS17" s="27"/>
      <c r="AGT17" s="27"/>
      <c r="AGU17" s="27"/>
      <c r="AGV17" s="27"/>
      <c r="AGW17" s="27"/>
      <c r="AGX17" s="27"/>
      <c r="AGY17" s="27"/>
      <c r="AGZ17" s="27"/>
      <c r="AHA17" s="27"/>
      <c r="AHB17" s="27"/>
      <c r="AHC17" s="27"/>
      <c r="AHD17" s="27"/>
      <c r="AHE17" s="27"/>
      <c r="AHF17" s="27"/>
      <c r="AHG17" s="27"/>
      <c r="AHH17" s="27"/>
      <c r="AHI17" s="27"/>
      <c r="AHJ17" s="27"/>
      <c r="AHK17" s="27"/>
      <c r="AHL17" s="27"/>
      <c r="AHM17" s="27"/>
      <c r="AHN17" s="27"/>
      <c r="AHO17" s="27"/>
      <c r="AHP17" s="27"/>
      <c r="AHQ17" s="27"/>
      <c r="AHR17" s="27"/>
      <c r="AHS17" s="27"/>
      <c r="AHT17" s="27"/>
      <c r="AHU17" s="27"/>
      <c r="AHV17" s="27"/>
      <c r="AHW17" s="27"/>
      <c r="AHX17" s="27"/>
      <c r="AHY17" s="27"/>
      <c r="AHZ17" s="27"/>
      <c r="AIA17" s="27"/>
      <c r="AIB17" s="27"/>
      <c r="AIC17" s="27"/>
      <c r="AID17" s="27"/>
      <c r="AIE17" s="27"/>
      <c r="AIF17" s="27"/>
      <c r="AIG17" s="27"/>
      <c r="AIH17" s="27"/>
      <c r="AII17" s="27"/>
      <c r="AIJ17" s="27"/>
      <c r="AIK17" s="27"/>
      <c r="AIL17" s="27"/>
      <c r="AIM17" s="27"/>
      <c r="AIN17" s="27"/>
      <c r="AIO17" s="27"/>
      <c r="AIP17" s="27"/>
      <c r="AIQ17" s="27"/>
      <c r="AIR17" s="27"/>
      <c r="AIS17" s="27"/>
      <c r="AIT17" s="27"/>
      <c r="AIU17" s="27"/>
      <c r="AIV17" s="27"/>
      <c r="AIW17" s="27"/>
      <c r="AIX17" s="27"/>
      <c r="AIY17" s="27"/>
      <c r="AIZ17" s="27"/>
      <c r="AJA17" s="27"/>
      <c r="AJB17" s="27"/>
      <c r="AJC17" s="27"/>
      <c r="AJD17" s="27"/>
      <c r="AJE17" s="27"/>
      <c r="AJF17" s="27"/>
      <c r="AJG17" s="27"/>
      <c r="AJH17" s="27"/>
      <c r="AJI17" s="27"/>
      <c r="AJJ17" s="27"/>
      <c r="AJK17" s="27"/>
      <c r="AJL17" s="27"/>
      <c r="AJM17" s="27"/>
      <c r="AJN17" s="27"/>
      <c r="AJO17" s="27"/>
      <c r="AJP17" s="27"/>
      <c r="AJQ17" s="27"/>
      <c r="AJR17" s="27"/>
      <c r="AJS17" s="27"/>
      <c r="AJT17" s="27"/>
      <c r="AJU17" s="27"/>
      <c r="AJV17" s="27"/>
      <c r="AJW17" s="27"/>
      <c r="AJX17" s="27"/>
      <c r="AJY17" s="27"/>
      <c r="AJZ17" s="27"/>
      <c r="AKA17" s="27"/>
      <c r="AKB17" s="27"/>
      <c r="AKC17" s="27"/>
      <c r="AKD17" s="27"/>
      <c r="AKE17" s="27"/>
      <c r="AKF17" s="27"/>
      <c r="AKG17" s="27"/>
      <c r="AKH17" s="27"/>
      <c r="AKI17" s="27"/>
      <c r="AKJ17" s="27"/>
      <c r="AKK17" s="27"/>
      <c r="AKL17" s="27"/>
      <c r="AKM17" s="27"/>
      <c r="AKN17" s="27"/>
      <c r="AKO17" s="27"/>
      <c r="AKP17" s="27"/>
      <c r="AKQ17" s="27"/>
      <c r="AKR17" s="27"/>
      <c r="AKS17" s="27"/>
      <c r="AKT17" s="27"/>
      <c r="AKU17" s="27"/>
      <c r="AKV17" s="27"/>
      <c r="AKW17" s="27"/>
      <c r="AKX17" s="27"/>
      <c r="AKY17" s="27"/>
      <c r="AKZ17" s="27"/>
      <c r="ALA17" s="27"/>
      <c r="ALB17" s="27"/>
      <c r="ALC17" s="27"/>
      <c r="ALD17" s="27"/>
      <c r="ALE17" s="27"/>
      <c r="ALF17" s="27"/>
      <c r="ALG17" s="27"/>
      <c r="ALH17" s="27"/>
      <c r="ALI17" s="27"/>
      <c r="ALJ17" s="27"/>
      <c r="ALK17" s="27"/>
      <c r="ALL17" s="27"/>
      <c r="ALM17" s="27"/>
      <c r="ALN17" s="27"/>
      <c r="ALO17" s="27"/>
      <c r="ALP17" s="27"/>
      <c r="ALQ17" s="27"/>
      <c r="ALR17" s="27"/>
      <c r="ALS17" s="27"/>
      <c r="ALT17" s="27"/>
      <c r="ALU17" s="27"/>
      <c r="ALV17" s="27"/>
      <c r="ALW17" s="27"/>
      <c r="ALX17" s="27"/>
      <c r="ALY17" s="27"/>
      <c r="ALZ17" s="27"/>
      <c r="AMA17" s="27"/>
      <c r="AMB17" s="27"/>
      <c r="AMC17" s="27"/>
      <c r="AMD17" s="27"/>
    </row>
    <row r="18" spans="1:1018" ht="20.25" x14ac:dyDescent="0.3">
      <c r="A18" s="87"/>
      <c r="B18" s="137"/>
      <c r="C18" s="138"/>
      <c r="D18" s="138"/>
      <c r="E18" s="138"/>
      <c r="F18" s="6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7"/>
      <c r="WD18" s="27"/>
      <c r="WE18" s="27"/>
      <c r="WF18" s="27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2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7"/>
      <c r="AAX18" s="27"/>
      <c r="AAY18" s="27"/>
      <c r="AAZ18" s="27"/>
      <c r="ABA18" s="27"/>
      <c r="ABB18" s="27"/>
      <c r="ABC18" s="27"/>
      <c r="ABD18" s="27"/>
      <c r="ABE18" s="27"/>
      <c r="ABF18" s="27"/>
      <c r="ABG18" s="27"/>
      <c r="ABH18" s="27"/>
      <c r="ABI18" s="27"/>
      <c r="ABJ18" s="27"/>
      <c r="ABK18" s="27"/>
      <c r="ABL18" s="27"/>
      <c r="ABM18" s="27"/>
      <c r="ABN18" s="27"/>
      <c r="ABO18" s="27"/>
      <c r="ABP18" s="27"/>
      <c r="ABQ18" s="27"/>
      <c r="ABR18" s="27"/>
      <c r="ABS18" s="27"/>
      <c r="ABT18" s="27"/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7"/>
      <c r="AFD18" s="27"/>
      <c r="AFE18" s="27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  <c r="AGC18" s="27"/>
      <c r="AGD18" s="27"/>
      <c r="AGE18" s="27"/>
      <c r="AGF18" s="27"/>
      <c r="AGG18" s="27"/>
      <c r="AGH18" s="27"/>
      <c r="AGI18" s="27"/>
      <c r="AGJ18" s="27"/>
      <c r="AGK18" s="27"/>
      <c r="AGL18" s="27"/>
      <c r="AGM18" s="27"/>
      <c r="AGN18" s="27"/>
      <c r="AGO18" s="27"/>
      <c r="AGP18" s="27"/>
      <c r="AGQ18" s="27"/>
      <c r="AGR18" s="27"/>
      <c r="AGS18" s="27"/>
      <c r="AGT18" s="27"/>
      <c r="AGU18" s="27"/>
      <c r="AGV18" s="27"/>
      <c r="AGW18" s="27"/>
      <c r="AGX18" s="27"/>
      <c r="AGY18" s="27"/>
      <c r="AGZ18" s="27"/>
      <c r="AHA18" s="27"/>
      <c r="AHB18" s="27"/>
      <c r="AHC18" s="27"/>
      <c r="AHD18" s="27"/>
      <c r="AHE18" s="27"/>
      <c r="AHF18" s="27"/>
      <c r="AHG18" s="27"/>
      <c r="AHH18" s="27"/>
      <c r="AHI18" s="27"/>
      <c r="AHJ18" s="27"/>
      <c r="AHK18" s="27"/>
      <c r="AHL18" s="27"/>
      <c r="AHM18" s="27"/>
      <c r="AHN18" s="27"/>
      <c r="AHO18" s="27"/>
      <c r="AHP18" s="27"/>
      <c r="AHQ18" s="27"/>
      <c r="AHR18" s="27"/>
      <c r="AHS18" s="27"/>
      <c r="AHT18" s="27"/>
      <c r="AHU18" s="27"/>
      <c r="AHV18" s="27"/>
      <c r="AHW18" s="27"/>
      <c r="AHX18" s="27"/>
      <c r="AHY18" s="27"/>
      <c r="AHZ18" s="27"/>
      <c r="AIA18" s="27"/>
      <c r="AIB18" s="27"/>
      <c r="AIC18" s="27"/>
      <c r="AID18" s="27"/>
      <c r="AIE18" s="27"/>
      <c r="AIF18" s="27"/>
      <c r="AIG18" s="27"/>
      <c r="AIH18" s="27"/>
      <c r="AII18" s="27"/>
      <c r="AIJ18" s="27"/>
      <c r="AIK18" s="27"/>
      <c r="AIL18" s="27"/>
      <c r="AIM18" s="27"/>
      <c r="AIN18" s="27"/>
      <c r="AIO18" s="27"/>
      <c r="AIP18" s="27"/>
      <c r="AIQ18" s="27"/>
      <c r="AIR18" s="27"/>
      <c r="AIS18" s="27"/>
      <c r="AIT18" s="27"/>
      <c r="AIU18" s="27"/>
      <c r="AIV18" s="27"/>
      <c r="AIW18" s="27"/>
      <c r="AIX18" s="27"/>
      <c r="AIY18" s="27"/>
      <c r="AIZ18" s="27"/>
      <c r="AJA18" s="27"/>
      <c r="AJB18" s="27"/>
      <c r="AJC18" s="27"/>
      <c r="AJD18" s="27"/>
      <c r="AJE18" s="27"/>
      <c r="AJF18" s="27"/>
      <c r="AJG18" s="27"/>
      <c r="AJH18" s="27"/>
      <c r="AJI18" s="27"/>
      <c r="AJJ18" s="27"/>
      <c r="AJK18" s="27"/>
      <c r="AJL18" s="27"/>
      <c r="AJM18" s="27"/>
      <c r="AJN18" s="27"/>
      <c r="AJO18" s="27"/>
      <c r="AJP18" s="27"/>
      <c r="AJQ18" s="27"/>
      <c r="AJR18" s="27"/>
      <c r="AJS18" s="27"/>
      <c r="AJT18" s="27"/>
      <c r="AJU18" s="27"/>
      <c r="AJV18" s="27"/>
      <c r="AJW18" s="27"/>
      <c r="AJX18" s="27"/>
      <c r="AJY18" s="27"/>
      <c r="AJZ18" s="27"/>
      <c r="AKA18" s="27"/>
      <c r="AKB18" s="27"/>
      <c r="AKC18" s="27"/>
      <c r="AKD18" s="27"/>
      <c r="AKE18" s="27"/>
      <c r="AKF18" s="27"/>
      <c r="AKG18" s="27"/>
      <c r="AKH18" s="27"/>
      <c r="AKI18" s="27"/>
      <c r="AKJ18" s="27"/>
      <c r="AKK18" s="27"/>
      <c r="AKL18" s="27"/>
      <c r="AKM18" s="27"/>
      <c r="AKN18" s="27"/>
      <c r="AKO18" s="27"/>
      <c r="AKP18" s="27"/>
      <c r="AKQ18" s="27"/>
      <c r="AKR18" s="27"/>
      <c r="AKS18" s="27"/>
      <c r="AKT18" s="27"/>
      <c r="AKU18" s="27"/>
      <c r="AKV18" s="27"/>
      <c r="AKW18" s="27"/>
      <c r="AKX18" s="27"/>
      <c r="AKY18" s="27"/>
      <c r="AKZ18" s="27"/>
      <c r="ALA18" s="27"/>
      <c r="ALB18" s="27"/>
      <c r="ALC18" s="27"/>
      <c r="ALD18" s="27"/>
      <c r="ALE18" s="27"/>
      <c r="ALF18" s="27"/>
      <c r="ALG18" s="27"/>
      <c r="ALH18" s="27"/>
      <c r="ALI18" s="27"/>
      <c r="ALJ18" s="27"/>
      <c r="ALK18" s="27"/>
      <c r="ALL18" s="27"/>
      <c r="ALM18" s="27"/>
      <c r="ALN18" s="27"/>
      <c r="ALO18" s="27"/>
      <c r="ALP18" s="27"/>
      <c r="ALQ18" s="27"/>
      <c r="ALR18" s="27"/>
      <c r="ALS18" s="27"/>
      <c r="ALT18" s="27"/>
      <c r="ALU18" s="27"/>
      <c r="ALV18" s="27"/>
      <c r="ALW18" s="27"/>
      <c r="ALX18" s="27"/>
      <c r="ALY18" s="27"/>
      <c r="ALZ18" s="27"/>
      <c r="AMA18" s="27"/>
      <c r="AMB18" s="27"/>
      <c r="AMC18" s="27"/>
      <c r="AMD18" s="27"/>
    </row>
    <row r="19" spans="1:1018" ht="40.5" x14ac:dyDescent="0.2">
      <c r="A19" s="81">
        <f t="shared" si="0"/>
        <v>5117</v>
      </c>
      <c r="B19" s="84" t="s">
        <v>108</v>
      </c>
      <c r="C19" s="62" t="s">
        <v>95</v>
      </c>
      <c r="D19" s="63" t="s">
        <v>96</v>
      </c>
      <c r="E19" s="121"/>
      <c r="F19" s="75"/>
    </row>
    <row r="20" spans="1:1018" ht="40.5" x14ac:dyDescent="0.2">
      <c r="A20" s="81">
        <f t="shared" si="0"/>
        <v>5118</v>
      </c>
      <c r="B20" s="84" t="s">
        <v>108</v>
      </c>
      <c r="C20" s="62" t="s">
        <v>95</v>
      </c>
      <c r="D20" s="64" t="s">
        <v>97</v>
      </c>
      <c r="E20" s="121"/>
      <c r="F20" s="75"/>
    </row>
    <row r="21" spans="1:1018" ht="40.5" x14ac:dyDescent="0.2">
      <c r="A21" s="81">
        <f t="shared" si="0"/>
        <v>5119</v>
      </c>
      <c r="B21" s="84" t="s">
        <v>108</v>
      </c>
      <c r="C21" s="62" t="s">
        <v>95</v>
      </c>
      <c r="D21" s="64" t="s">
        <v>98</v>
      </c>
      <c r="E21" s="121"/>
      <c r="F21" s="75"/>
    </row>
    <row r="22" spans="1:1018" ht="20.25" x14ac:dyDescent="0.3">
      <c r="A22" s="87"/>
      <c r="B22" s="137"/>
      <c r="C22" s="138"/>
      <c r="D22" s="138"/>
      <c r="E22" s="138"/>
      <c r="F22" s="66"/>
    </row>
    <row r="23" spans="1:1018" ht="60.75" x14ac:dyDescent="0.2">
      <c r="A23" s="81">
        <f t="shared" si="0"/>
        <v>5120</v>
      </c>
      <c r="B23" s="84" t="s">
        <v>109</v>
      </c>
      <c r="C23" s="62" t="s">
        <v>95</v>
      </c>
      <c r="D23" s="63" t="s">
        <v>96</v>
      </c>
      <c r="E23" s="121"/>
      <c r="F23" s="121"/>
    </row>
    <row r="24" spans="1:1018" ht="60.75" x14ac:dyDescent="0.2">
      <c r="A24" s="81">
        <f t="shared" si="0"/>
        <v>5121</v>
      </c>
      <c r="B24" s="84" t="s">
        <v>109</v>
      </c>
      <c r="C24" s="62" t="s">
        <v>95</v>
      </c>
      <c r="D24" s="64" t="s">
        <v>97</v>
      </c>
      <c r="E24" s="121"/>
      <c r="F24" s="121"/>
    </row>
    <row r="25" spans="1:1018" ht="60.75" x14ac:dyDescent="0.2">
      <c r="A25" s="81">
        <f t="shared" si="0"/>
        <v>5122</v>
      </c>
      <c r="B25" s="84" t="s">
        <v>109</v>
      </c>
      <c r="C25" s="62" t="s">
        <v>95</v>
      </c>
      <c r="D25" s="64" t="s">
        <v>98</v>
      </c>
      <c r="E25" s="121"/>
      <c r="F25" s="121"/>
    </row>
    <row r="26" spans="1:1018" ht="20.25" x14ac:dyDescent="0.3">
      <c r="A26" s="87"/>
      <c r="B26" s="137"/>
      <c r="C26" s="138"/>
      <c r="D26" s="138"/>
      <c r="E26" s="138"/>
      <c r="F26" s="138"/>
    </row>
    <row r="27" spans="1:1018" ht="81" x14ac:dyDescent="0.2">
      <c r="A27" s="81">
        <f t="shared" si="0"/>
        <v>5123</v>
      </c>
      <c r="B27" s="84" t="s">
        <v>110</v>
      </c>
      <c r="C27" s="62" t="s">
        <v>95</v>
      </c>
      <c r="D27" s="63" t="s">
        <v>96</v>
      </c>
      <c r="E27" s="121"/>
      <c r="F27" s="75"/>
    </row>
    <row r="28" spans="1:1018" ht="81" x14ac:dyDescent="0.2">
      <c r="A28" s="81">
        <f t="shared" si="0"/>
        <v>5124</v>
      </c>
      <c r="B28" s="84" t="s">
        <v>110</v>
      </c>
      <c r="C28" s="62" t="s">
        <v>95</v>
      </c>
      <c r="D28" s="64" t="s">
        <v>97</v>
      </c>
      <c r="E28" s="121"/>
      <c r="F28" s="75"/>
    </row>
    <row r="29" spans="1:1018" ht="81" x14ac:dyDescent="0.2">
      <c r="A29" s="81">
        <f t="shared" si="0"/>
        <v>5125</v>
      </c>
      <c r="B29" s="84" t="s">
        <v>110</v>
      </c>
      <c r="C29" s="62" t="s">
        <v>95</v>
      </c>
      <c r="D29" s="64" t="s">
        <v>98</v>
      </c>
      <c r="E29" s="121"/>
      <c r="F29" s="75"/>
    </row>
    <row r="30" spans="1:1018" ht="44.25" customHeight="1" x14ac:dyDescent="0.2">
      <c r="D30" s="119" t="s">
        <v>122</v>
      </c>
      <c r="E30" s="120">
        <f>+E29+E28+E27+E25+E24+E23+F23+F24+F25+E21+E20+E19+E17+E16+E15+E13+E12+E11+F11+F12+F13+F15+F16+F17</f>
        <v>0</v>
      </c>
    </row>
  </sheetData>
  <mergeCells count="6">
    <mergeCell ref="B26:F26"/>
    <mergeCell ref="B6:F6"/>
    <mergeCell ref="B7:F7"/>
    <mergeCell ref="B8:F8"/>
    <mergeCell ref="B18:E18"/>
    <mergeCell ref="B22:E22"/>
  </mergeCells>
  <printOptions horizontalCentered="1"/>
  <pageMargins left="0.39370078740157483" right="0.39370078740157483" top="7.874015748031496E-2" bottom="7.874015748031496E-2" header="0.15748031496062992" footer="0.15748031496062992"/>
  <pageSetup paperSize="9" scale="40" fitToHeight="0" pageOrder="overThenDown" orientation="landscape" r:id="rId1"/>
  <headerFooter alignWithMargins="0"/>
  <rowBreaks count="1" manualBreakCount="1">
    <brk id="30" min="1" max="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E13"/>
  <sheetViews>
    <sheetView showGridLines="0" zoomScale="70" zoomScaleNormal="70" workbookViewId="0">
      <selection activeCell="E12" sqref="A1:E12"/>
    </sheetView>
  </sheetViews>
  <sheetFormatPr baseColWidth="10" defaultColWidth="11" defaultRowHeight="15" customHeight="1" x14ac:dyDescent="0.2"/>
  <cols>
    <col min="2" max="2" width="61.375" customWidth="1"/>
    <col min="3" max="3" width="21.75" bestFit="1" customWidth="1"/>
    <col min="4" max="4" width="45.875" customWidth="1"/>
    <col min="5" max="5" width="37.625" customWidth="1"/>
    <col min="6" max="65" width="7.5" customWidth="1"/>
  </cols>
  <sheetData>
    <row r="1" spans="1:5" ht="45.75" customHeight="1" x14ac:dyDescent="0.2">
      <c r="B1" s="1"/>
      <c r="C1" s="1"/>
      <c r="E1" s="2"/>
    </row>
    <row r="2" spans="1:5" ht="45.75" customHeight="1" x14ac:dyDescent="0.2">
      <c r="B2" s="118" t="s">
        <v>0</v>
      </c>
      <c r="C2" s="53"/>
      <c r="D2" s="60"/>
      <c r="E2" s="54"/>
    </row>
    <row r="3" spans="1:5" ht="45.75" customHeight="1" x14ac:dyDescent="0.2">
      <c r="B3" s="1"/>
      <c r="C3" s="1"/>
      <c r="E3" s="2"/>
    </row>
    <row r="4" spans="1:5" ht="45.75" customHeight="1" x14ac:dyDescent="0.2">
      <c r="B4" s="56" t="s">
        <v>111</v>
      </c>
      <c r="C4" s="53"/>
      <c r="D4" s="60"/>
      <c r="E4" s="54"/>
    </row>
    <row r="5" spans="1:5" ht="45.75" customHeight="1" x14ac:dyDescent="0.2">
      <c r="B5" s="7"/>
      <c r="C5" s="6"/>
      <c r="D5" s="7"/>
      <c r="E5" s="7"/>
    </row>
    <row r="6" spans="1:5" ht="33" customHeight="1" x14ac:dyDescent="0.2">
      <c r="B6" s="140" t="s">
        <v>112</v>
      </c>
      <c r="C6" s="141"/>
      <c r="D6" s="141"/>
      <c r="E6" s="142"/>
    </row>
    <row r="7" spans="1:5" ht="63.75" customHeight="1" x14ac:dyDescent="0.2">
      <c r="B7" s="133" t="s">
        <v>113</v>
      </c>
      <c r="C7" s="133"/>
      <c r="D7" s="133"/>
      <c r="E7" s="133"/>
    </row>
    <row r="8" spans="1:5" ht="36.75" customHeight="1" thickBot="1" x14ac:dyDescent="0.25">
      <c r="A8" s="80" t="s">
        <v>5</v>
      </c>
      <c r="B8" s="91"/>
      <c r="C8" s="92" t="s">
        <v>6</v>
      </c>
      <c r="D8" s="92" t="s">
        <v>5</v>
      </c>
      <c r="E8" s="92" t="s">
        <v>114</v>
      </c>
    </row>
    <row r="9" spans="1:5" ht="60.75" x14ac:dyDescent="0.2">
      <c r="A9" s="102">
        <v>6111</v>
      </c>
      <c r="B9" s="143" t="s">
        <v>119</v>
      </c>
      <c r="C9" s="93" t="s">
        <v>115</v>
      </c>
      <c r="D9" s="94" t="s">
        <v>116</v>
      </c>
      <c r="E9" s="95"/>
    </row>
    <row r="10" spans="1:5" ht="54.75" customHeight="1" x14ac:dyDescent="0.2">
      <c r="A10" s="103">
        <f>+IF(AND(B10&lt;&gt;"",A9=""),#REF!+1,A9+1)</f>
        <v>6112</v>
      </c>
      <c r="B10" s="144"/>
      <c r="C10" s="20" t="s">
        <v>115</v>
      </c>
      <c r="D10" s="61" t="s">
        <v>117</v>
      </c>
      <c r="E10" s="96"/>
    </row>
    <row r="11" spans="1:5" ht="62.25" customHeight="1" thickBot="1" x14ac:dyDescent="0.25">
      <c r="A11" s="104">
        <f t="shared" ref="A11" si="0">+IF(AND(B11&lt;&gt;"",A10=""),A9+1,A10+1)</f>
        <v>6113</v>
      </c>
      <c r="B11" s="145"/>
      <c r="C11" s="97" t="s">
        <v>115</v>
      </c>
      <c r="D11" s="98" t="s">
        <v>118</v>
      </c>
      <c r="E11" s="99"/>
    </row>
    <row r="12" spans="1:5" ht="15" customHeight="1" x14ac:dyDescent="0.2">
      <c r="A12" s="105"/>
      <c r="B12" s="100"/>
      <c r="C12" s="100"/>
      <c r="D12" s="100"/>
      <c r="E12" s="101"/>
    </row>
    <row r="13" spans="1:5" ht="15" customHeight="1" x14ac:dyDescent="0.2">
      <c r="E13" s="50"/>
    </row>
  </sheetData>
  <mergeCells count="3">
    <mergeCell ref="B6:E6"/>
    <mergeCell ref="B7:E7"/>
    <mergeCell ref="B9:B11"/>
  </mergeCells>
  <printOptions horizontalCentered="1"/>
  <pageMargins left="0.7" right="0.7" top="1.045275590551181" bottom="1.045275590551181" header="0.75" footer="0.75"/>
  <pageSetup paperSize="9" scale="68" fitToHeight="0" pageOrder="overThenDown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B10"/>
  <sheetViews>
    <sheetView showGridLines="0" tabSelected="1" workbookViewId="0">
      <selection activeCell="B5" sqref="B5"/>
    </sheetView>
  </sheetViews>
  <sheetFormatPr baseColWidth="10" defaultRowHeight="14.25" x14ac:dyDescent="0.2"/>
  <cols>
    <col min="1" max="1" width="25.625" customWidth="1"/>
    <col min="2" max="2" width="34.75" customWidth="1"/>
  </cols>
  <sheetData>
    <row r="2" spans="1:2" ht="20.25" x14ac:dyDescent="0.3">
      <c r="A2" s="126" t="s">
        <v>129</v>
      </c>
    </row>
    <row r="4" spans="1:2" ht="36.75" customHeight="1" x14ac:dyDescent="0.2">
      <c r="B4" s="124" t="s">
        <v>127</v>
      </c>
    </row>
    <row r="5" spans="1:2" s="123" customFormat="1" ht="32.25" customHeight="1" x14ac:dyDescent="0.2">
      <c r="A5" s="125" t="s">
        <v>123</v>
      </c>
      <c r="B5" s="127">
        <f>+'Annexe 2'!E127</f>
        <v>0</v>
      </c>
    </row>
    <row r="6" spans="1:2" s="123" customFormat="1" ht="32.25" customHeight="1" x14ac:dyDescent="0.2">
      <c r="A6" s="125" t="s">
        <v>124</v>
      </c>
      <c r="B6" s="127">
        <f>+'Annexe 3'!E89</f>
        <v>0</v>
      </c>
    </row>
    <row r="7" spans="1:2" s="123" customFormat="1" ht="32.25" customHeight="1" x14ac:dyDescent="0.2">
      <c r="A7" s="125" t="s">
        <v>125</v>
      </c>
      <c r="B7" s="127">
        <f>+'Annexe 4'!E26</f>
        <v>0</v>
      </c>
    </row>
    <row r="8" spans="1:2" s="123" customFormat="1" ht="32.25" customHeight="1" x14ac:dyDescent="0.2">
      <c r="A8" s="125" t="s">
        <v>126</v>
      </c>
      <c r="B8" s="127">
        <f>+'Annexe 5'!E30</f>
        <v>0</v>
      </c>
    </row>
    <row r="10" spans="1:2" ht="33.75" customHeight="1" x14ac:dyDescent="0.2">
      <c r="A10" s="125" t="s">
        <v>128</v>
      </c>
      <c r="B10" s="128">
        <f>+B8+B7+B6+B5</f>
        <v>0</v>
      </c>
    </row>
  </sheetData>
  <phoneticPr fontId="47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EFCC76F61B69479D1ED799ED5A91FC" ma:contentTypeVersion="3" ma:contentTypeDescription="Crée un document." ma:contentTypeScope="" ma:versionID="b020c42836f8af02441c4cefebd809db">
  <xsd:schema xmlns:xsd="http://www.w3.org/2001/XMLSchema" xmlns:xs="http://www.w3.org/2001/XMLSchema" xmlns:p="http://schemas.microsoft.com/office/2006/metadata/properties" xmlns:ns2="8179ef5c-05e4-41ea-a9d5-226da6cb2243" targetNamespace="http://schemas.microsoft.com/office/2006/metadata/properties" ma:root="true" ma:fieldsID="47dafecddd28446d761b2cf41161ef37" ns2:_="">
    <xsd:import namespace="8179ef5c-05e4-41ea-a9d5-226da6cb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9ef5c-05e4-41ea-a9d5-226da6cb22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0EC73E-585E-4673-8C9A-E4063107B2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7998AF-DAB8-4244-B9CF-3C42E8C6ED54}">
  <ds:schemaRefs>
    <ds:schemaRef ds:uri="http://purl.org/dc/elements/1.1/"/>
    <ds:schemaRef ds:uri="8179ef5c-05e4-41ea-a9d5-226da6cb224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CB0CC3B-CAFB-4D8F-B86A-D66131CDC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79ef5c-05e4-41ea-a9d5-226da6cb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5</vt:i4>
      </vt:variant>
    </vt:vector>
  </HeadingPairs>
  <TitlesOfParts>
    <vt:vector size="11" baseType="lpstr">
      <vt:lpstr>Annexe 2</vt:lpstr>
      <vt:lpstr>Annexe 3</vt:lpstr>
      <vt:lpstr>Annexe 4</vt:lpstr>
      <vt:lpstr>Annexe 5</vt:lpstr>
      <vt:lpstr>Annexe 6</vt:lpstr>
      <vt:lpstr>Ne pas compléter ni modifier</vt:lpstr>
      <vt:lpstr>'Annexe 2'!Zone_d_impression</vt:lpstr>
      <vt:lpstr>'Annexe 3'!Zone_d_impression</vt:lpstr>
      <vt:lpstr>'Annexe 4'!Zone_d_impression</vt:lpstr>
      <vt:lpstr>'Annexe 5'!Zone_d_impression</vt:lpstr>
      <vt:lpstr>'Annexe 6'!Zone_d_impression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FLEITH Benoit</dc:creator>
  <cp:keywords/>
  <dc:description/>
  <cp:lastModifiedBy>Marie Christine CONCEICAO</cp:lastModifiedBy>
  <cp:revision>1</cp:revision>
  <cp:lastPrinted>2026-02-25T15:29:21Z</cp:lastPrinted>
  <dcterms:created xsi:type="dcterms:W3CDTF">2020-10-30T08:22:13Z</dcterms:created>
  <dcterms:modified xsi:type="dcterms:W3CDTF">2026-02-25T15:29:28Z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0x01010004EFCC76F61B69479D1ED799ED5A91FC</vt:lpwstr>
  </property>
</Properties>
</file>